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60f393676dadff3/06__LLS_Horizon_2025/CONTRACT/2026/8_2026-N2-Горизонт/02__Спецификации/02__Спецификации/40__to_customer_fin/"/>
    </mc:Choice>
  </mc:AlternateContent>
  <xr:revisionPtr revIDLastSave="373" documentId="8_{30280AE3-AA36-4A79-9243-6EF9C696F433}" xr6:coauthVersionLast="47" xr6:coauthVersionMax="47" xr10:uidLastSave="{2E64D4FE-0279-4B12-A790-633888F66175}"/>
  <bookViews>
    <workbookView xWindow="23820" yWindow="864" windowWidth="21720" windowHeight="21420" tabRatio="633" xr2:uid="{00000000-000D-0000-FFFF-FFFF00000000}"/>
  </bookViews>
  <sheets>
    <sheet name="SpecificationToCustomerFin" sheetId="44" r:id="rId1"/>
    <sheet name="TableSchema" sheetId="18" state="hidden" r:id="rId2"/>
    <sheet name="ConfigJSON" sheetId="17" r:id="rId3"/>
  </sheets>
  <definedNames>
    <definedName name="_xlcn.WorksheetConnection_ШаблонспецификацияworkspecN2025.xlsxTabSpecificationWork_11" hidden="1">TabSpecificationWork_1</definedName>
    <definedName name="_xlcn.WorksheetConnection_ШаблонспецификацияworkspecN2025.xlsxTabSpecificationWork_21" hidden="1">TabSpecificationWork_2</definedName>
    <definedName name="ExternalData_1" localSheetId="0" hidden="1">SpecificationToCustomerFin!$A$1:$I$6</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4" l="1"/>
  <c r="H7" i="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Нумерация в соответствии с нумерацией столбцов Excel</t>
      </text>
    </comment>
    <comment ref="C1" authorId="1" shapeId="0" xr:uid="{467C0B6F-9F95-4DB0-BF80-F675DE91455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Рабочее наименование столбца</t>
      </text>
    </comment>
    <comment ref="D1" authorId="2" shapeId="0" xr:uid="{4CFBF6B6-7EFD-4069-8DE5-8B3A382DE8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Диапазон допустимых значений
</t>
      </text>
    </comment>
    <comment ref="G1" authorId="5" shapeId="0" xr:uid="{73665B3F-01E8-4647-B7CF-D2ADCE5DFF7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того что столбец должен хранить только уникальные значения</t>
      </text>
    </comment>
    <comment ref="H1" authorId="6" shapeId="0" xr:uid="{BF2E705E-F92F-4135-963A-1D08D1A86B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допустимости ‘null’ (т.е. пустых) значения в данном столбце</t>
      </text>
    </comment>
    <comment ref="I1" authorId="7" shapeId="0" xr:uid="{BA3FC78D-DF56-4299-98BA-EF543AEDDE9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Пользователь не должен руками вносить значения</t>
      </text>
    </comment>
    <comment ref="J1" authorId="8" shapeId="0" xr:uid="{C4590EF0-B4FA-4AF9-B9E3-97C4D5D4FB7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выбора значений из выпадающего списка</t>
      </text>
    </comment>
    <comment ref="M1" authorId="11" shapeId="0" xr:uid="{38ECDC56-C1B3-4279-9135-C2F194AF05C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Включить перенос текста</t>
      </text>
    </comment>
    <comment ref="Q1" authorId="13" shapeId="0" xr:uid="{2542A1D5-C697-4EB9-ADE5-2F46F073681A}">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поясняющий смысл хранимых в столбце данных, также ряд ограничений связанных с ним и ряд другой информации.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1"/>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F4F5C14C-3CE1-4676-BB6E-59D256E975D8}" keepAlive="1" name="Запрос — Вызванная функцияProcessingTable" description="Соединение с запросом &quot;Вызванная функцияProcessingTable&quot; в книге." type="5" refreshedVersion="8" background="1" saveData="1">
    <dbPr connection="Provider=Microsoft.Mashup.OleDb.1;Data Source=$Workbook$;Location=&quot;Вызванная функцияProcessingTable&quot;;Extended Properties=&quot;&quot;" command="SELECT * FROM [Вызванная функцияProcessingTable]"/>
  </connection>
</connections>
</file>

<file path=xl/sharedStrings.xml><?xml version="1.0" encoding="utf-8"?>
<sst xmlns="http://schemas.openxmlformats.org/spreadsheetml/2006/main" count="182" uniqueCount="90">
  <si>
    <t>IDnum</t>
  </si>
  <si>
    <t>NUM FULL SET</t>
  </si>
  <si>
    <t>NAME PRODUCT</t>
  </si>
  <si>
    <t>UNITS</t>
  </si>
  <si>
    <t>QUANTITY TOTAL</t>
  </si>
  <si>
    <t>true</t>
  </si>
  <si>
    <t>шт</t>
  </si>
  <si>
    <t>false</t>
  </si>
  <si>
    <t>PRICE UNIT $TOTAL</t>
  </si>
  <si>
    <t>COST $TOTAL</t>
  </si>
  <si>
    <t>DURATION SALE $TOTAL</t>
  </si>
  <si>
    <t>none</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</si>
  <si>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</si>
  <si>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</si>
  <si>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</si>
  <si>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</si>
  <si>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</si>
  <si>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</si>
  <si>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</si>
  <si>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</si>
  <si>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</si>
  <si>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</si>
  <si>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</si>
  <si>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</si>
  <si>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</si>
  <si>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</si>
  <si>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</si>
  <si>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</si>
  <si>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</si>
  <si>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int</t>
  </si>
  <si>
    <t>Числовой</t>
  </si>
  <si>
    <t>center</t>
  </si>
  <si>
    <t>text</t>
  </si>
  <si>
    <t>Текстовый</t>
  </si>
  <si>
    <t>[1, 50]</t>
  </si>
  <si>
    <t>up</t>
  </si>
  <si>
    <t>left</t>
  </si>
  <si>
    <t>Общий</t>
  </si>
  <si>
    <t>Полный порядковый номер позиции, состоящий из номер комплекта и номера порядкового в комплекте</t>
  </si>
  <si>
    <t>НАИМЕНОВАНИЕ</t>
  </si>
  <si>
    <t>[3, 300]</t>
  </si>
  <si>
    <t>Наименование позиции</t>
  </si>
  <si>
    <t>ЕД ИЗМ</t>
  </si>
  <si>
    <t>[0, 2]</t>
  </si>
  <si>
    <t>Единицы измерения из справочника</t>
  </si>
  <si>
    <t>Итоговое количество по данной позиции в поставке</t>
  </si>
  <si>
    <t>float</t>
  </si>
  <si>
    <t>down</t>
  </si>
  <si>
    <t>right</t>
  </si>
  <si>
    <t>[1, 5000000]</t>
  </si>
  <si>
    <t>Итоговая цена по позиции - реализация</t>
  </si>
  <si>
    <t>Итоговая стоимость по позиции - реализация</t>
  </si>
  <si>
    <t>Длительность в календарных днях реализации товара или услуги</t>
  </si>
  <si>
    <t>IDconfig</t>
  </si>
  <si>
    <t>CONFIG_JSON</t>
  </si>
  <si>
    <t>COST ADD VAT $TOTAL</t>
  </si>
  <si>
    <t>[1, 25000000]</t>
  </si>
  <si>
    <t>[1, 240]</t>
  </si>
  <si>
    <t>Итоговая НДС по позиции - реализация</t>
  </si>
  <si>
    <t>DSL - конфигурация предназначена для генерации 'to customer fin' спецификации в соответствии с новыми командами  и требованиями ETL процессора версии - 'rev.05 v02' а также она (конфигурация) явялется разновидность 'type 4' таких спецификаций (см документацию HorizonBI). Днная спецификация не КАСТОМНАЯ (!) это 'база', не предназначенная под конкретный проект, но содержащая основные элменты обработки, трансформации, фильтрации и валидации.</t>
  </si>
  <si>
    <t>ЕД ИЗМ.</t>
  </si>
  <si>
    <t>КОЛ-ВО</t>
  </si>
  <si>
    <t>ЦЕНА БЕЗ НДС, руб</t>
  </si>
  <si>
    <t>СТОИМОСТЬ БЕЗ НДС, руб</t>
  </si>
  <si>
    <t>НДС, руб</t>
  </si>
  <si>
    <t>TabSpecificationToCustomerFin</t>
  </si>
  <si>
    <t>КОЛИЧЕСТВО</t>
  </si>
  <si>
    <t>№</t>
  </si>
  <si>
    <t>gen-spec-to_customer_fin-type4-base</t>
  </si>
  <si>
    <t>ДЛИТЕЛЬНОСТЬ РЕАЛИЗАЦИИ, дней</t>
  </si>
  <si>
    <t>ДЛИТЕЛЬНОСТЬ РЕАЛИЗАЦИИ,  дней</t>
  </si>
  <si>
    <t>[3, 7]</t>
  </si>
  <si>
    <t>ОПИСАНИЕ И ХАРАКТЕРИСТИКИ</t>
  </si>
  <si>
    <t>{
  "TabSpecificationWork": {
    "1": {
      "ValidationData": [
        { "StrictBlock": true },
        { "IDnum": { "fvCheckID": [] } },
        { "NUM PROJECT": { "fvCheckNonEmpty": [], "fvCheckTextLength": [13, 25] } },
        { "NUM ORDER": { "fvCheckNonEmpty": [], "fvCheckIntegerRange": [1, 100] } },
        { "VER COLLECTION": { "fvCheckNonEmpty": [], "fvCheckIntegerRange": [1, 50], "fvCheckSpecUniqueVer": [] } },
        { "DESCRIPTION SET": { "fvCheckNonEmpty": [], "fvCheckTextLength": [5, 300] } },
        { "IDset": { "fvCheckNonEmpty": [], "fvCheckTextLength": [1, 50] } },
        { "NUM SEQUENCE SET": { "fvCheckNonEmpty": [], "fvCheckIntegerRange": [1, 50] } },
        { "NUM FULL SET": { "fvCheckNonEmpty": [], "fvCheckTextLength": [3, 7] } },
        { "isSHIPPED": { "fvCheckNonEmpty": [], "fvCheckTextLength": [4, 5] } },
        { "HASH COLLECTION": { "fvCheckNonEmpty": [], "fvCheckTextLength": [32, 55] } },
        { "NAME PRODUCT": { "fvCheckNonEmpty": [], "fvCheckTextLength": [3, 300] } },
        { "DESCRIPTION PRODUCT": { "fvCheckNonEmpty":  [], "fvCheckTextLength": [10, 1000] } },
        { "BRAND": { "fvCheckNonEmpty": [], "fvCheckTextLength": [3, 50] } },
        { "SUPPLIER": { "fvCheckNonEmpty": [], "fvCheckTextLength": [3, 50] } },
        { "ARTICLE SUPPLIER": { "fvCheckNonEmpty": [], "fvCheckTextLength": [3, 50] } },
        { "ARTICLE INTERNAL": { "fvCheckNonEmpty": [], "fvCheckTextLength": [20, 20] } },
        { "UNITS": { "fvCheckNonEmpty": [], "fvCheckTextLength": [0, 2] } },
        { "QUANTITY SET": { "fvCheckNonEmpty": [], "fvCheckIntegerRange": [1, 50] } },
        { "QUANTITY SHIPPED SET": { "fvCheckNonEmpty": [], "fvCheckIntegerRange": [1, 50] } },
        { "QUANTITY TOTAL": { "fvCheckNonEmpty": [], "fvCheckIntegerRange": [1, 50] } },
        { "QUANTITY SUPPLIER": { "fvCheckNonEmpty": [], "fvCheckIntegerRange": [0, 999] } },
        { "PRICE UNIT $PURCHASE": { "fvCheckNonEmpty": [], "fvCheckFloatRange": [1, 5000000] } },
        { "VAT ADD PRICE $PURCHASE": { "fvCheckNonEmpty": [], "fvCheckFloatRange": [0, 2000000] } },
        { "COST PRICE $PURCHASE": { "fvCheckNonEmpty": [], "fvCheckFloatRange": [1, 10000000] } },
        { "COST PRICE VAT $PURCHASE": { "fvCheckNonEmpty": [], "fvCheckFloatRange": [1, 10000000] } },
        { "COMMENT WORK": { "fvCheckNonEmpty": [], "fvCheckTextLength": [7, 3000] } },
        { "COEFFICIENT MARKUP": { "fvCheckNonEmpty": [], "fvCheckFloatRange": [1, 10] } },
        { "PRICE UNIT $SALE": { "fvCheckNonEmpty": [], "fvCheckFloatRange": [1, 5000000] } },
        { "COST DEAL $SALE": { "fvCheckNonEmpty": [], "fvCheckFloatRange": [1, 25000000] } },
        { "DISCOUNT PERCENT": { "fvCheckNonEmpty": [], "fvCheckFloatRange": [0, 70] } },
        { "DISCOUNT MONEY": { "fvCheckNonEmpty": [], "fvCheckFloatRange": [0, 500000] } },
        { "VAT RATE CONTRACTOR $TOTAL": { "fvCheckNonEmpty": [], "fvCheckFloatRange": [0, 22] } },
        { "PRICE UNIT $TOTAL": { "fvCheckNonEmpty": [], "fvCheckFloatRange": [1, 5000000] } },
        { "VAT ADD PRICE UNIT $TOTAL": { "fvCheckNonEmpty": [], "fvCheckFloatRange": [0, 2000000] } },
        { "PRICE VAT UNIT $TOTAL": { "fvCheckNonEmpty": [], "fvCheckFloatRange": [1, 5000000] } },
        { "COST $TOTAL": { "fvCheckNonEmpty": [], "fvCheckFloatRange": [1, 25000000] } },
        { "COST ADD VAT $TOTAL": { "fvCheckNonEmpty": [], "fvCheckFloatRange": [0, 5000000] } },
        { "COST VAT $TOTAL": { "fvCheckNonEmpty": [], "fvCheckFloatRange": [1, 25000000] } },
        { "DURATION SALE $TOTAL": { "fvCheckNonEmpty": [], "fvCheckIntegerRange": [1, 240] } },
        { "isSUPPLIED": { "fvCheckNonEmpty": [], "fvCheckTextLength": [4, 5] } },
        { "isPROCESSING": { "fvCheckNonEmpty": [], "fvCheckTextLength": [4, 5] } }
      ]
    },
    "2": {
      "ColumnFilterFreeData": [
        { "NUM PROJECT": "8/2026-N2-ГОРИЗОНТ" }
      ],
      "RemoveRowAll": [
        {
          "row_1": {
            "IndexSearchColumn": "isSHIPPED",
            "IndexSearchRow": "false"
          }
        }
      ]
    },
    "3": {
      "FilterSpecMaxVer": []
    },
    "4": {
      "ModifyData": []
    },
    "5": {
      "RemoveXorColumn": [
        "NUM FULL SET",
        "NAME PRODUCT",
        "DESCRIPTION PRODUCT",
        "UNITS",
        "QUANTITY TOTAL",
        "PRICE UNIT $TOTAL",
        "COST $TOTAL",
        "COST ADD VAT $TOTAL",
        "VAT RATE CONTRACTOR $TOTAL",
        "PRICE VAT UNIT $TOTAL",
        "COST VAT $TOTAL",
        "DURATION SALE $TOTAL"
      ],
      "FinancialRound": [
        {
          "rule_1": {
            "SourceQuantity": "QUANTITY TOTAL",
            "SourceBasePrice": "PRICE UNIT $TOTAL",
            "SourceVatRate": "VAT RATE CONTRACTOR $TOTAL",
            "TargetPriceNoVat": "PRICE UNIT $TOTAL",
            "TargetCostNoVat": "COST $TOTAL",
            "TargetVatSum": "COST ADD VAT $TOTAL",
            "TargetPriceVat": "PRICE VAT UNIT $TOTAL",
            "TargetCostVat": "COST VAT $TOTAL"
          }
        }
      ]
    },
    "6": {
      "RemoveXorColumn": [
        "NUM FULL SET",
        "NAME PRODUCT",
        "DESCRIPTION PRODUCT",
        "UNITS",
        "QUANTITY TOTAL",
        "PRICE UNIT $TOTAL",
        "COST $TOTAL",
        "COST ADD VAT $TOTAL",
        "DURATION SALE $TOTAL"
      ],
      "RenameColumn": [
        { "NUM FULL SET": "№" },
        { "NAME PRODUCT": "НАИМЕНОВАНИЕ" },
        { "DESCRIPTION PRODUCT": "ОПИСАНИЕ И ХАРАКТЕРИСТИКИ" },
        { "UNITS": "ЕД ИЗМ." },
        { "QUANTITY TOTAL": "КОЛ-ВО" },
        { "PRICE UNIT $TOTAL": "ЦЕНА БЕЗ НДС, руб" },
        { "COST $TOTAL": "СТОИМОСТЬ БЕЗ НДС, руб" },
        { "COST ADD VAT $TOTAL": "НДС, руб" },
        { "DURATION SALE $TOTAL": "ДЛИТЕЛЬНОСТЬ РЕАЛИЗАЦИИ, дней" }
      ]
    },
    "7": {
      "ColumnSetType": [
        { "№": "text" },
        { "НАИМЕНОВАНИЕ": "text" },
        { "ЕД ИЗМ.": "text" },
        { "КОЛ-ВО": "int" },
        { "ЦЕНА БЕЗ НДС, руб": "float" },
        { "СТОИМОСТЬ БЕЗ НДС, руб": "float" },
        { "НДС, руб": "float" },
        { "ДЛИТЕЛЬНОСТЬ РЕАЛИЗАЦИИ, дней": "int" }
      ]
    }
  }
}</t>
  </si>
  <si>
    <t>2.101.1</t>
  </si>
  <si>
    <t>Инженерный анализ существующей конструкции изделия.
Постаматный вендинговый аппарата, модель «Knowhy» G80/master</t>
  </si>
  <si>
    <t>Изучение конструкционных, функциональных характеристик  Изделия. Получение параметров характеристик.
Результатом работ по этапу является:
 - внутренний технический отчет о выявленных качественных и количественных особенностях данной модели Изделия.</t>
  </si>
  <si>
    <t>2.101.2</t>
  </si>
  <si>
    <t>Разработка ТЗ №1 на изделие в целом.
Постаматный вендинговый аппарата, модель «Knowhy» G80/master</t>
  </si>
  <si>
    <t>Определение функциональных, технических требований к изделию в целом. Проработка списка корректируемых разделов, требуемых для адаптации ПТК.
Результатом работ по этапу является:
 - утвержденное ТЗ №1 на Изделие, содержащее перечень функциональных, технических требований.</t>
  </si>
  <si>
    <t>2.101.3</t>
  </si>
  <si>
    <t>Разработка ТЗ №2 на адаптацию ПТК.
Постаматный вендинговый аппарата, модель «Knowhy» G80/master</t>
  </si>
  <si>
    <t>ТЗ на определения реестра технических и организационных мероприятий нацеленных на адаптацию ПТК для управления Изделием.
Результатом работ по этапу является:
 - утвержденное ТЗ №2, на адаптацию ПТК.</t>
  </si>
  <si>
    <t>2.102.1</t>
  </si>
  <si>
    <t>Адаптация, комплектование и сборка ПТК в соответствии с ТЗ №2.
Постаматный вендинговый аппарата, модель «Knowhy» G80/master</t>
  </si>
  <si>
    <t>Комплектование и сборка ПТК, адаптированного для управления Изделием.
Результатом работ по этапу является:
 - полнофункциональный укомплектованный ПТК для управления изделием.</t>
  </si>
  <si>
    <t>2.103.1</t>
  </si>
  <si>
    <t>Комплексное тестирование аппарата на базе новой системы управления.
Постаматный вендинговый аппарата, модель «Knowhy» G80/master</t>
  </si>
  <si>
    <t>Комплексные испытания одного аппарата с обновленным набором сенсоров, актуаторов и новой системы управления.
Результатом работ по этапу является:
 - протокол комплексных испытаний;
 - откорректированное на основе тестов  прикладное ПО всех уровней, прошедшее проверку реализованной функциональности;
 - акт готовности изделия к эксплуатации.</t>
  </si>
  <si>
    <t>Итог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</si>
</sst>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 _₽_-;\-* #,##0.00\ _₽_-;_-* &quot;-&quot;??\ _₽_-;_-@_-"/>
  </numFmts>
  <fonts count="22"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dashed">
        <color auto="1"/>
      </top>
      <bottom style="dashed">
        <color auto="1"/>
      </bottom>
      <diagonal/>
    </border>
    <border>
      <left style="thin">
        <color auto="1"/>
      </left>
      <right style="thin">
        <color auto="1"/>
      </right>
      <top/>
      <bottom style="dashed">
        <color auto="1"/>
      </bottom>
      <diagonal/>
    </border>
    <border>
      <left style="thin">
        <color auto="1"/>
      </left>
      <right style="thin">
        <color auto="1"/>
      </right>
      <top/>
      <bottom style="dotted">
        <color indexed="64"/>
      </bottom>
      <diagonal/>
    </border>
    <border>
      <left style="thin">
        <color auto="1"/>
      </left>
      <right style="thin">
        <color auto="1"/>
      </right>
      <top style="dotted">
        <color indexed="64"/>
      </top>
      <bottom style="dotted">
        <color indexed="64"/>
      </bottom>
      <diagonal/>
    </border>
    <border>
      <left style="dotted">
        <color indexed="64"/>
      </left>
      <right/>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43" fontId="1" fillId="0" borderId="0" applyFont="0" applyFill="0" applyBorder="0" applyAlignment="0" applyProtection="0"/>
  </cellStyleXfs>
  <cellXfs count="53">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10" xfId="0" applyBorder="1" applyAlignment="1">
      <alignment horizontal="center" vertical="center"/>
    </xf>
    <xf numFmtId="49" fontId="0" fillId="0" borderId="11" xfId="0" applyNumberFormat="1" applyBorder="1" applyAlignment="1">
      <alignment wrapText="1"/>
    </xf>
    <xf numFmtId="0" fontId="0" fillId="0" borderId="0" xfId="0" applyAlignment="1">
      <alignment vertical="top" wrapText="1"/>
    </xf>
    <xf numFmtId="49" fontId="0" fillId="0" borderId="12" xfId="0" applyNumberFormat="1" applyBorder="1" applyAlignment="1">
      <alignment horizontal="left" vertical="top" wrapText="1"/>
    </xf>
    <xf numFmtId="0" fontId="0" fillId="0" borderId="0" xfId="0" applyAlignment="1">
      <alignment vertical="center" wrapText="1"/>
    </xf>
    <xf numFmtId="49" fontId="0" fillId="0" borderId="12" xfId="0" applyNumberFormat="1" applyBorder="1" applyAlignment="1">
      <alignment horizontal="left" vertical="center" indent="1"/>
    </xf>
    <xf numFmtId="0" fontId="20" fillId="0" borderId="0" xfId="0" applyFont="1" applyAlignment="1">
      <alignment vertical="top" wrapText="1"/>
    </xf>
    <xf numFmtId="0" fontId="0" fillId="0" borderId="0" xfId="0" applyAlignment="1">
      <alignment wrapText="1"/>
    </xf>
    <xf numFmtId="0" fontId="0" fillId="0" borderId="13" xfId="0" applyBorder="1" applyAlignment="1">
      <alignment horizontal="center" vertical="center" wrapText="1"/>
    </xf>
    <xf numFmtId="49" fontId="0" fillId="0" borderId="0" xfId="0" applyNumberFormat="1" applyProtection="1">
      <protection locked="0"/>
    </xf>
    <xf numFmtId="0" fontId="0" fillId="0" borderId="0" xfId="0" applyProtection="1">
      <protection locked="0"/>
    </xf>
    <xf numFmtId="0" fontId="0" fillId="0" borderId="13" xfId="0" applyBorder="1" applyAlignment="1">
      <alignment horizontal="center" vertical="top" wrapText="1"/>
    </xf>
    <xf numFmtId="0" fontId="0" fillId="0" borderId="14" xfId="0" applyBorder="1" applyAlignment="1">
      <alignment horizontal="center"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4" xfId="0" applyBorder="1" applyAlignment="1">
      <alignment horizontal="center" vertical="center" wrapText="1"/>
    </xf>
    <xf numFmtId="0" fontId="0" fillId="0" borderId="15" xfId="0" applyBorder="1" applyAlignment="1">
      <alignment wrapText="1"/>
    </xf>
    <xf numFmtId="0" fontId="0" fillId="0" borderId="16" xfId="0" applyBorder="1" applyAlignment="1">
      <alignment wrapText="1"/>
    </xf>
    <xf numFmtId="0" fontId="0" fillId="0" borderId="0" xfId="0" applyAlignment="1" applyProtection="1">
      <alignment wrapText="1"/>
      <protection locked="0"/>
    </xf>
    <xf numFmtId="49" fontId="0" fillId="0" borderId="0" xfId="0" applyNumberFormat="1" applyAlignment="1" applyProtection="1">
      <alignment wrapText="1"/>
      <protection locked="0"/>
    </xf>
    <xf numFmtId="43" fontId="0" fillId="0" borderId="14" xfId="44" applyFont="1" applyBorder="1" applyAlignment="1">
      <alignment horizontal="center" vertical="center" wrapText="1"/>
    </xf>
    <xf numFmtId="43" fontId="0" fillId="0" borderId="13" xfId="44" applyFont="1" applyBorder="1" applyAlignment="1">
      <alignment horizontal="center" vertical="center" wrapText="1"/>
    </xf>
    <xf numFmtId="0" fontId="0" fillId="0" borderId="0" xfId="0" applyAlignment="1" applyProtection="1">
      <alignment horizontal="center" vertical="center"/>
      <protection locked="0"/>
    </xf>
    <xf numFmtId="43" fontId="0" fillId="0" borderId="0" xfId="44" applyFont="1" applyAlignment="1" applyProtection="1">
      <alignment horizontal="center" vertical="center"/>
      <protection locked="0"/>
    </xf>
    <xf numFmtId="164" fontId="0" fillId="0" borderId="0" xfId="0" applyNumberFormat="1" applyAlignment="1" applyProtection="1">
      <alignment horizontal="center" vertical="center"/>
      <protection locked="0"/>
    </xf>
    <xf numFmtId="43" fontId="0" fillId="0" borderId="0" xfId="0" applyNumberFormat="1" applyAlignment="1" applyProtection="1">
      <alignment horizontal="center" vertical="center"/>
      <protection locked="0"/>
    </xf>
    <xf numFmtId="49" fontId="0" fillId="0" borderId="0" xfId="0" applyNumberFormat="1" applyAlignment="1" applyProtection="1">
      <alignment horizontal="center" vertical="center"/>
      <protection locked="0"/>
    </xf>
    <xf numFmtId="1" fontId="0" fillId="0" borderId="14" xfId="44" applyNumberFormat="1" applyFont="1" applyBorder="1" applyAlignment="1">
      <alignment horizontal="center" vertical="center"/>
    </xf>
    <xf numFmtId="1" fontId="0" fillId="0" borderId="13" xfId="44" applyNumberFormat="1" applyFont="1" applyBorder="1" applyAlignment="1">
      <alignment horizontal="center" vertical="center"/>
    </xf>
    <xf numFmtId="1" fontId="0" fillId="0" borderId="0" xfId="0" applyNumberFormat="1" applyProtection="1">
      <protection locked="0"/>
    </xf>
    <xf numFmtId="1" fontId="0" fillId="0" borderId="0" xfId="0" applyNumberFormat="1"/>
    <xf numFmtId="0" fontId="0" fillId="0" borderId="0" xfId="0" applyAlignment="1">
      <alignment horizontal="center" vertical="center" wrapText="1"/>
    </xf>
    <xf numFmtId="43" fontId="16" fillId="0" borderId="0" xfId="0" applyNumberFormat="1" applyFont="1" applyAlignment="1">
      <alignment horizontal="center" vertical="center" wrapText="1"/>
    </xf>
    <xf numFmtId="43" fontId="0" fillId="0" borderId="0" xfId="0" applyNumberFormat="1"/>
    <xf numFmtId="0" fontId="0" fillId="33" borderId="17" xfId="0" applyFill="1" applyBorder="1" applyAlignment="1">
      <alignment horizontal="center" vertical="top" wrapText="1"/>
    </xf>
    <xf numFmtId="0" fontId="0" fillId="33" borderId="0" xfId="0" applyFill="1" applyAlignment="1">
      <alignment horizontal="center" vertical="top" wrapText="1"/>
    </xf>
    <xf numFmtId="1" fontId="0" fillId="33" borderId="0" xfId="0" applyNumberFormat="1" applyFill="1" applyAlignment="1">
      <alignment horizontal="center" vertical="top" wrapText="1"/>
    </xf>
  </cellXfs>
  <cellStyles count="45">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Финансовый" xfId="44" builtinId="3"/>
    <cellStyle name="Хороший" xfId="6" builtinId="26" customBuiltin="1"/>
  </cellStyles>
  <dxfs count="71">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left/>
        <right style="thin">
          <color indexed="64"/>
        </right>
        <top style="thin">
          <color indexed="64"/>
        </top>
        <bottom/>
        <vertical/>
        <horizontal/>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alignment horizontal="left" vertical="center" textRotation="0" wrapText="0" relative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wrapText="0" indent="0" justifyLastLine="0" shrinkToFit="0" readingOrder="0"/>
      <border diagonalUp="0" diagonalDown="0" outline="0">
        <left style="hair">
          <color indexed="64"/>
        </left>
        <right style="hair">
          <color indexed="64"/>
        </right>
        <top/>
        <bottom/>
      </border>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numFmt numFmtId="35" formatCode="_-* #,##0.00_-;\-* #,##0.00_-;_-* &quot;-&quot;??_-;_-@_-"/>
    </dxf>
    <dxf>
      <numFmt numFmtId="1" formatCode="0"/>
      <alignment horizontal="center" vertical="center"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ont>
        <b/>
        <i val="0"/>
        <strike val="0"/>
        <condense val="0"/>
        <extend val="0"/>
        <outline val="0"/>
        <shadow val="0"/>
        <u val="none"/>
        <vertAlign val="baseline"/>
        <sz val="11"/>
        <color theme="1"/>
        <name val="Calibri"/>
        <family val="2"/>
        <charset val="204"/>
        <scheme val="minor"/>
      </font>
      <numFmt numFmtId="35" formatCode="_-* #,##0.00_-;\-* #,##0.00_-;_-* &quot;-&quot;??_-;_-@_-"/>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font>
        <b/>
        <i val="0"/>
        <strike val="0"/>
        <condense val="0"/>
        <extend val="0"/>
        <outline val="0"/>
        <shadow val="0"/>
        <u val="none"/>
        <vertAlign val="baseline"/>
        <sz val="11"/>
        <color theme="1"/>
        <name val="Calibri"/>
        <family val="2"/>
        <charset val="204"/>
        <scheme val="minor"/>
      </font>
      <numFmt numFmtId="35" formatCode="_-* #,##0.00_-;\-* #,##0.00_-;_-* &quot;-&quot;??_-;_-@_-"/>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border diagonalUp="0" diagonalDown="0">
        <left style="thin">
          <color auto="1"/>
        </left>
        <right style="thin">
          <color auto="1"/>
        </right>
        <top style="dotted">
          <color indexed="64"/>
        </top>
        <bottom style="dotted">
          <color indexed="64"/>
        </bottom>
        <vertical/>
        <horizontal/>
      </border>
    </dxf>
    <dxf>
      <alignment horizontal="general" vertical="bottom" textRotation="0" wrapText="1" indent="0" justifyLastLine="0" shrinkToFit="0" readingOrder="0"/>
    </dxf>
    <dxf>
      <numFmt numFmtId="0" formatCode="General"/>
      <alignment horizontal="general" vertical="top"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alignment horizontal="center" vertical="top" textRotation="0" wrapText="1" indent="0" justifyLastLine="0" shrinkToFit="0" readingOrder="0"/>
    </dxf>
    <dxf>
      <numFmt numFmtId="0" formatCode="General"/>
      <alignment horizontal="center" vertical="top"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alignment horizontal="general" vertical="bottom" textRotation="0" wrapText="1" indent="0" justifyLastLine="0" shrinkToFit="0" readingOrder="0"/>
    </dxf>
    <dxf>
      <fill>
        <patternFill patternType="solid">
          <fgColor indexed="64"/>
          <bgColor theme="1"/>
        </patternFill>
      </fill>
      <alignment horizontal="center" vertical="top" textRotation="0" wrapText="1"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70"/>
      <tableStyleElement type="totalRow" dxfId="69"/>
      <tableStyleElement type="secondRowStripe" dxfId="68"/>
    </tableStyle>
  </tableStyles>
  <colors>
    <mruColors>
      <color rgb="FFC9A6E4"/>
      <color rgb="FFF5B487"/>
      <color rgb="FFF47B5E"/>
      <color rgb="FFF25F3C"/>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customXml" Target="../customXml/item12.xml"/><Relationship Id="rId34" Type="http://schemas.openxmlformats.org/officeDocument/2006/relationships/customXml" Target="../customXml/item25.xml"/><Relationship Id="rId7" Type="http://schemas.openxmlformats.org/officeDocument/2006/relationships/sharedStrings" Target="sharedString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33" Type="http://schemas.openxmlformats.org/officeDocument/2006/relationships/customXml" Target="../customXml/item24.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24" Type="http://schemas.openxmlformats.org/officeDocument/2006/relationships/customXml" Target="../customXml/item15.xml"/><Relationship Id="rId32" Type="http://schemas.openxmlformats.org/officeDocument/2006/relationships/customXml" Target="../customXml/item23.xml"/><Relationship Id="rId5" Type="http://schemas.openxmlformats.org/officeDocument/2006/relationships/connections" Target="connections.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31" Type="http://schemas.openxmlformats.org/officeDocument/2006/relationships/customXml" Target="../customXml/item22.xml"/><Relationship Id="rId4" Type="http://schemas.openxmlformats.org/officeDocument/2006/relationships/theme" Target="theme/theme1.xml"/><Relationship Id="rId9" Type="http://schemas.openxmlformats.org/officeDocument/2006/relationships/calcChain" Target="calcChain.xml"/><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 Id="rId8"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1F3CD3FB-6A4A-41DF-AB23-C155C39E466C}" autoFormatId="16" applyNumberFormats="0" applyBorderFormats="0" applyFontFormats="0" applyPatternFormats="0" applyAlignmentFormats="0" applyWidthHeightFormats="0">
  <queryTableRefresh nextId="13">
    <queryTableFields count="9">
      <queryTableField id="1" name="№" tableColumnId="1"/>
      <queryTableField id="2" name="НАИМЕНОВАНИЕ" tableColumnId="2"/>
      <queryTableField id="11" name="ОПИСАНИЕ И ХАРАКТЕРИСТИКИ" tableColumnId="9"/>
      <queryTableField id="3" name="ЕД ИЗМ." tableColumnId="3"/>
      <queryTableField id="4" name="КОЛ-ВО" tableColumnId="4"/>
      <queryTableField id="5" name="ЦЕНА БЕЗ НДС, руб" tableColumnId="5"/>
      <queryTableField id="6" name="СТОИМОСТЬ БЕЗ НДС, руб" tableColumnId="6"/>
      <queryTableField id="7" name="НДС, руб" tableColumnId="7"/>
      <queryTableField id="10" name="ДЛИТЕЛЬНОСТЬ РЕАЛИЗАЦИИ, дней"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43E309-0E8D-4534-8845-B4A45424A8C6}" name="TabSpecificationToCustomerFin" displayName="TabSpecificationToCustomerFin" ref="A1:I7" tableType="queryTable" totalsRowCount="1" headerRowDxfId="67" dataDxfId="66">
  <autoFilter ref="A1:I6" xr:uid="{9D43E309-0E8D-4534-8845-B4A45424A8C6}"/>
  <tableColumns count="9">
    <tableColumn id="1" xr3:uid="{095AA111-FA63-4964-B584-2C7AB6E17D7A}" uniqueName="1" name="№" totalsRowLabel="Итог" queryTableFieldId="1" dataDxfId="65" totalsRowDxfId="64"/>
    <tableColumn id="2" xr3:uid="{06F08F19-7BAC-4BE3-8B82-8421D1DCDAE4}" uniqueName="2" name="НАИМЕНОВАНИЕ" queryTableFieldId="2" dataDxfId="63" totalsRowDxfId="62"/>
    <tableColumn id="9" xr3:uid="{DA7651CE-7327-4E72-A55A-06CB1CE41554}" uniqueName="9" name="ОПИСАНИЕ И ХАРАКТЕРИСТИКИ" queryTableFieldId="11" dataDxfId="61" totalsRowDxfId="60" dataCellStyle="Финансовый"/>
    <tableColumn id="3" xr3:uid="{3F0BCDB7-61A1-42A5-8138-012623067E45}" uniqueName="3" name="ЕД ИЗМ." queryTableFieldId="3" dataDxfId="59" totalsRowDxfId="58"/>
    <tableColumn id="4" xr3:uid="{6F49E9F3-06A2-43BE-9CBB-B828B84C5DED}" uniqueName="4" name="КОЛ-ВО" queryTableFieldId="4" dataDxfId="57" totalsRowDxfId="56"/>
    <tableColumn id="5" xr3:uid="{BE55F7E9-C360-4782-80F9-4767C181C700}" uniqueName="5" name="ЦЕНА БЕЗ НДС, руб" queryTableFieldId="5" dataDxfId="55" totalsRowDxfId="54" dataCellStyle="Финансовый"/>
    <tableColumn id="6" xr3:uid="{08593672-8724-4A0B-9408-4FCD3C8C0F64}" uniqueName="6" name="СТОИМОСТЬ БЕЗ НДС, руб" totalsRowFunction="sum" queryTableFieldId="6" dataDxfId="53" totalsRowDxfId="52" dataCellStyle="Финансовый"/>
    <tableColumn id="7" xr3:uid="{9433931A-B46B-48B4-A72C-EA39A2738F6C}" uniqueName="7" name="НДС, руб" totalsRowFunction="sum" queryTableFieldId="7" dataDxfId="51" totalsRowDxfId="50" dataCellStyle="Финансовый"/>
    <tableColumn id="8" xr3:uid="{409B1175-A88B-48B4-9328-1ADB522AEDE5}" uniqueName="8" name="ДЛИТЕЛЬНОСТЬ РЕАЛИЗАЦИИ, дней" queryTableFieldId="10" dataDxfId="49" totalsRowDxfId="48" dataCellStyle="Финансовый"/>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9" headerRowDxfId="47" dataDxfId="46" tableBorderDxfId="45">
  <autoFilter ref="A1:Q9" xr:uid="{759773E5-6BB4-4A7F-A27E-2BF5D48F2E04}"/>
  <tableColumns count="17">
    <tableColumn id="1" xr3:uid="{E6BB4E5D-0C94-42D4-8C3E-4A911A823492}" name="TABLE NAME" totalsRowLabel="Итог" dataDxfId="44" totalsRowDxfId="43"/>
    <tableColumn id="9" xr3:uid="{8E76A267-9A59-489D-8043-2804945CE301}" name="NUM COLUMN" totalsRowFunction="count" dataDxfId="42" totalsRowDxfId="41"/>
    <tableColumn id="2" xr3:uid="{BEB7F216-285D-4701-BA72-477EC26D3B62}" name="СOLUMNS NAME" dataDxfId="40" totalsRowDxfId="39"/>
    <tableColumn id="4" xr3:uid="{A7B1D50C-5D59-4B32-A7C3-9AA74B7404D4}" name="COLUMN NAME RUS" dataDxfId="38" totalsRowDxfId="37"/>
    <tableColumn id="6" xr3:uid="{1416325B-2E3B-4C34-BB33-AAB8A31EF82D}" name="TYPE DATASET" dataDxfId="36" totalsRowDxfId="35"/>
    <tableColumn id="5" xr3:uid="{CA8100E0-9D72-4767-B0B8-4AD4DE71B1E3}" name="RANGE VALUES" dataDxfId="34" totalsRowDxfId="33"/>
    <tableColumn id="13" xr3:uid="{3A92C78A-FF7E-4E7E-8419-C0B9B7A58E47}" name="UNIQUE FLAG" dataDxfId="32" totalsRowDxfId="31"/>
    <tableColumn id="8" xr3:uid="{2396727F-9D04-4743-BB44-C8C0E33C757B}" name="NULL VALUE" dataDxfId="30" totalsRowDxfId="29"/>
    <tableColumn id="12" xr3:uid="{C4725C6D-3039-490B-BB41-A5171ECFACD8}" name="isAUTOMATIC" dataDxfId="28" totalsRowDxfId="27"/>
    <tableColumn id="7" xr3:uid="{40580CDE-6E19-4C7A-9755-F526449CFCB9}" name="MODIFY FLAG" dataDxfId="26" totalsRowDxfId="25"/>
    <tableColumn id="10" xr3:uid="{CB15A236-A81C-4BD2-9F8C-B1E9D304D57D}" name="HANDBOOK SOURCE" dataDxfId="24" totalsRowDxfId="23"/>
    <tableColumn id="15" xr3:uid="{FEB2FEB8-B9A8-4D97-89C7-C11A7ECC74BF}" name="DROPDOWN LIST" dataDxfId="22" totalsRowDxfId="21"/>
    <tableColumn id="14" xr3:uid="{39517DFD-8E84-4512-AD3B-8EEF3F2A14BD}" name="EXCEL TYPE" dataDxfId="20" totalsRowDxfId="19"/>
    <tableColumn id="16" xr3:uid="{4AF43F77-9EB9-4FE8-A6CD-1C506E0C165A}" name="VERTICAL ALIGNMENT" totalsRowFunction="count" dataDxfId="18" totalsRowDxfId="17"/>
    <tableColumn id="17" xr3:uid="{F3337072-6BBA-4D07-99C5-D8BE0F50993F}" name="HORIZONTAL ALIGNMENT" dataDxfId="16" totalsRowDxfId="15"/>
    <tableColumn id="18" xr3:uid="{D292290F-9084-4A4E-B39B-7270E72B4D63}" name="TRANSFER TEXT" dataDxfId="14" totalsRowDxfId="13"/>
    <tableColumn id="3" xr3:uid="{99264B45-CF4D-4029-A10F-DE7DEC72AEAA}" name="COMMENT" totalsRowFunction="count" dataDxfId="12" totalsRowDxfId="11"/>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2" totalsRowShown="0" headerRowDxfId="10">
  <autoFilter ref="A1:D2" xr:uid="{F15A7DFF-0CC5-4C4C-9A2B-B1F378111DBF}"/>
  <tableColumns count="4">
    <tableColumn id="1" xr3:uid="{EADDD526-A1BB-49E7-8C12-FF9F560ED170}" name="IDnum" dataDxfId="9"/>
    <tableColumn id="4" xr3:uid="{98DCC295-85E8-47DA-AFBD-C60F8D2289C3}" name="IDconfig" dataDxfId="8"/>
    <tableColumn id="2" xr3:uid="{DA12A670-2981-4AD6-9AD6-55CE1D69B953}" name="CONFIG_JSON" dataDxfId="7"/>
    <tableColumn id="3" xr3:uid="{A974DE38-498A-4F17-8A6B-82651D251480}" name="COMMENT" dataDxfId="6"/>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1243-70D1-49D0-A2D0-83374A70A6CC}">
  <dimension ref="A1:I34"/>
  <sheetViews>
    <sheetView tabSelected="1" zoomScale="85" zoomScaleNormal="85" workbookViewId="0">
      <selection activeCell="I30" sqref="I30"/>
    </sheetView>
  </sheetViews>
  <sheetFormatPr defaultRowHeight="14.4" x14ac:dyDescent="0.3"/>
  <cols>
    <col min="1" max="1" width="7.88671875" bestFit="1" customWidth="1"/>
    <col min="2" max="2" width="30.109375" bestFit="1" customWidth="1"/>
    <col min="3" max="3" width="50.77734375" style="23" customWidth="1"/>
    <col min="4" max="4" width="10.77734375" customWidth="1"/>
    <col min="5" max="5" width="10.77734375" style="5" customWidth="1"/>
    <col min="6" max="8" width="15.77734375" style="5" customWidth="1"/>
    <col min="9" max="9" width="20.77734375" style="46" customWidth="1"/>
    <col min="10" max="10" width="22.109375" customWidth="1"/>
  </cols>
  <sheetData>
    <row r="1" spans="1:9" ht="32.25" customHeight="1" x14ac:dyDescent="0.3">
      <c r="A1" s="50" t="s">
        <v>67</v>
      </c>
      <c r="B1" s="51" t="s">
        <v>39</v>
      </c>
      <c r="C1" s="51" t="s">
        <v>72</v>
      </c>
      <c r="D1" s="51" t="s">
        <v>60</v>
      </c>
      <c r="E1" s="51" t="s">
        <v>61</v>
      </c>
      <c r="F1" s="51" t="s">
        <v>62</v>
      </c>
      <c r="G1" s="51" t="s">
        <v>63</v>
      </c>
      <c r="H1" s="51" t="s">
        <v>64</v>
      </c>
      <c r="I1" s="52" t="s">
        <v>69</v>
      </c>
    </row>
    <row r="2" spans="1:9" ht="115.2" x14ac:dyDescent="0.3">
      <c r="A2" s="28" t="s">
        <v>74</v>
      </c>
      <c r="B2" s="30" t="s">
        <v>75</v>
      </c>
      <c r="C2" s="32" t="s">
        <v>76</v>
      </c>
      <c r="D2" s="31" t="s">
        <v>6</v>
      </c>
      <c r="E2" s="31">
        <v>1</v>
      </c>
      <c r="F2" s="36">
        <v>150000</v>
      </c>
      <c r="G2" s="36">
        <v>150000</v>
      </c>
      <c r="H2" s="36">
        <v>33000</v>
      </c>
      <c r="I2" s="43">
        <v>14</v>
      </c>
    </row>
    <row r="3" spans="1:9" ht="115.2" x14ac:dyDescent="0.3">
      <c r="A3" s="27" t="s">
        <v>77</v>
      </c>
      <c r="B3" s="29" t="s">
        <v>78</v>
      </c>
      <c r="C3" s="33" t="s">
        <v>79</v>
      </c>
      <c r="D3" s="24" t="s">
        <v>6</v>
      </c>
      <c r="E3" s="24">
        <v>1</v>
      </c>
      <c r="F3" s="37">
        <v>30000</v>
      </c>
      <c r="G3" s="37">
        <v>30000</v>
      </c>
      <c r="H3" s="37">
        <v>6600</v>
      </c>
      <c r="I3" s="44">
        <v>7</v>
      </c>
    </row>
    <row r="4" spans="1:9" ht="86.4" x14ac:dyDescent="0.3">
      <c r="A4" s="27" t="s">
        <v>80</v>
      </c>
      <c r="B4" s="29" t="s">
        <v>81</v>
      </c>
      <c r="C4" s="33" t="s">
        <v>82</v>
      </c>
      <c r="D4" s="24" t="s">
        <v>6</v>
      </c>
      <c r="E4" s="24">
        <v>1</v>
      </c>
      <c r="F4" s="37">
        <v>30000</v>
      </c>
      <c r="G4" s="37">
        <v>30000</v>
      </c>
      <c r="H4" s="37">
        <v>6600</v>
      </c>
      <c r="I4" s="44">
        <v>7</v>
      </c>
    </row>
    <row r="5" spans="1:9" ht="86.4" x14ac:dyDescent="0.3">
      <c r="A5" s="27" t="s">
        <v>83</v>
      </c>
      <c r="B5" s="29" t="s">
        <v>84</v>
      </c>
      <c r="C5" s="33" t="s">
        <v>85</v>
      </c>
      <c r="D5" s="24" t="s">
        <v>6</v>
      </c>
      <c r="E5" s="24">
        <v>1</v>
      </c>
      <c r="F5" s="37">
        <v>2400000</v>
      </c>
      <c r="G5" s="37">
        <v>2400000</v>
      </c>
      <c r="H5" s="37">
        <v>528000</v>
      </c>
      <c r="I5" s="44">
        <v>80</v>
      </c>
    </row>
    <row r="6" spans="1:9" ht="144" x14ac:dyDescent="0.3">
      <c r="A6" s="27" t="s">
        <v>86</v>
      </c>
      <c r="B6" s="29" t="s">
        <v>87</v>
      </c>
      <c r="C6" s="33" t="s">
        <v>88</v>
      </c>
      <c r="D6" s="24" t="s">
        <v>6</v>
      </c>
      <c r="E6" s="24">
        <v>1</v>
      </c>
      <c r="F6" s="37">
        <v>350000</v>
      </c>
      <c r="G6" s="37">
        <v>350000</v>
      </c>
      <c r="H6" s="37">
        <v>77000</v>
      </c>
      <c r="I6" s="44">
        <v>14</v>
      </c>
    </row>
    <row r="7" spans="1:9" x14ac:dyDescent="0.3">
      <c r="A7" s="6" t="s">
        <v>89</v>
      </c>
      <c r="B7" s="23"/>
      <c r="D7" s="47"/>
      <c r="E7" s="47"/>
      <c r="F7" s="47"/>
      <c r="G7" s="48">
        <f>SUBTOTAL(109,TabSpecificationToCustomerFin[СТОИМОСТЬ БЕЗ НДС, руб])</f>
        <v>2960000</v>
      </c>
      <c r="H7" s="48">
        <f>SUBTOTAL(109,TabSpecificationToCustomerFin[НДС, руб])</f>
        <v>651200</v>
      </c>
      <c r="I7" s="49"/>
    </row>
    <row r="9" spans="1:9" x14ac:dyDescent="0.3">
      <c r="A9" s="26"/>
      <c r="B9" s="26"/>
      <c r="C9" s="34"/>
      <c r="D9" s="26"/>
      <c r="E9" s="38"/>
      <c r="F9" s="38"/>
      <c r="G9" s="38"/>
      <c r="H9" s="38"/>
      <c r="I9" s="45"/>
    </row>
    <row r="10" spans="1:9" x14ac:dyDescent="0.3">
      <c r="A10" s="26"/>
      <c r="B10" s="26"/>
      <c r="C10" s="34"/>
      <c r="D10" s="26"/>
      <c r="E10" s="38"/>
      <c r="F10" s="38"/>
      <c r="G10" s="38"/>
      <c r="H10" s="38"/>
      <c r="I10" s="45"/>
    </row>
    <row r="11" spans="1:9" x14ac:dyDescent="0.3">
      <c r="A11" s="26"/>
      <c r="B11" s="26"/>
      <c r="C11" s="34"/>
      <c r="D11" s="26"/>
      <c r="E11" s="38"/>
      <c r="F11" s="39"/>
      <c r="G11" s="39"/>
      <c r="H11" s="39"/>
      <c r="I11" s="45"/>
    </row>
    <row r="12" spans="1:9" x14ac:dyDescent="0.3">
      <c r="A12" s="26"/>
      <c r="B12" s="26"/>
      <c r="C12" s="34"/>
      <c r="D12" s="26"/>
      <c r="E12" s="38"/>
      <c r="F12" s="40"/>
      <c r="G12" s="39"/>
      <c r="H12" s="39"/>
      <c r="I12" s="45"/>
    </row>
    <row r="13" spans="1:9" x14ac:dyDescent="0.3">
      <c r="A13" s="26"/>
      <c r="B13" s="26"/>
      <c r="C13" s="34"/>
      <c r="D13" s="26"/>
      <c r="E13" s="38"/>
      <c r="F13" s="38"/>
      <c r="G13" s="39"/>
      <c r="H13" s="39"/>
      <c r="I13" s="45"/>
    </row>
    <row r="14" spans="1:9" x14ac:dyDescent="0.3">
      <c r="A14" s="26"/>
      <c r="B14" s="26"/>
      <c r="C14" s="34"/>
      <c r="D14" s="26"/>
      <c r="E14" s="38"/>
      <c r="F14" s="38"/>
      <c r="G14" s="39"/>
      <c r="H14" s="39"/>
      <c r="I14" s="45"/>
    </row>
    <row r="15" spans="1:9" x14ac:dyDescent="0.3">
      <c r="A15" s="26"/>
      <c r="B15" s="26"/>
      <c r="C15" s="34"/>
      <c r="D15" s="26"/>
      <c r="E15" s="38"/>
      <c r="F15" s="41"/>
      <c r="G15" s="39"/>
      <c r="H15" s="39"/>
      <c r="I15" s="45"/>
    </row>
    <row r="16" spans="1:9" x14ac:dyDescent="0.3">
      <c r="A16" s="26"/>
      <c r="B16" s="26"/>
      <c r="C16" s="34"/>
      <c r="D16" s="26"/>
      <c r="E16" s="38"/>
      <c r="F16" s="38"/>
      <c r="G16" s="39"/>
      <c r="H16" s="39"/>
      <c r="I16" s="45"/>
    </row>
    <row r="17" spans="1:9" x14ac:dyDescent="0.3">
      <c r="A17" s="26"/>
      <c r="B17" s="26"/>
      <c r="C17" s="34"/>
      <c r="D17" s="26"/>
      <c r="E17" s="38"/>
      <c r="F17" s="40"/>
      <c r="G17" s="39"/>
      <c r="H17" s="39"/>
      <c r="I17" s="45"/>
    </row>
    <row r="18" spans="1:9" x14ac:dyDescent="0.3">
      <c r="A18" s="26"/>
      <c r="B18" s="26"/>
      <c r="C18" s="34"/>
      <c r="D18" s="26"/>
      <c r="E18" s="38"/>
      <c r="F18" s="38"/>
      <c r="G18" s="39"/>
      <c r="H18" s="39"/>
      <c r="I18" s="45"/>
    </row>
    <row r="19" spans="1:9" x14ac:dyDescent="0.3">
      <c r="A19" s="26"/>
      <c r="B19" s="26"/>
      <c r="C19" s="34"/>
      <c r="D19" s="26"/>
      <c r="E19" s="38"/>
      <c r="F19" s="38"/>
      <c r="G19" s="39"/>
      <c r="H19" s="39"/>
      <c r="I19" s="45"/>
    </row>
    <row r="20" spans="1:9" x14ac:dyDescent="0.3">
      <c r="A20" s="26"/>
      <c r="B20" s="26"/>
      <c r="C20" s="34"/>
      <c r="D20" s="26"/>
      <c r="E20" s="38"/>
      <c r="F20" s="38"/>
      <c r="G20" s="39"/>
      <c r="H20" s="39"/>
      <c r="I20" s="45"/>
    </row>
    <row r="21" spans="1:9" x14ac:dyDescent="0.3">
      <c r="A21" s="26"/>
      <c r="B21" s="26"/>
      <c r="C21" s="34"/>
      <c r="D21" s="26"/>
      <c r="E21" s="38"/>
      <c r="F21" s="38"/>
      <c r="G21" s="39"/>
      <c r="H21" s="39"/>
      <c r="I21" s="45"/>
    </row>
    <row r="22" spans="1:9" x14ac:dyDescent="0.3">
      <c r="A22" s="26"/>
      <c r="B22" s="26"/>
      <c r="C22" s="34"/>
      <c r="D22" s="26"/>
      <c r="E22" s="38"/>
      <c r="F22" s="38"/>
      <c r="G22" s="38"/>
      <c r="H22" s="38"/>
      <c r="I22" s="45"/>
    </row>
    <row r="23" spans="1:9" x14ac:dyDescent="0.3">
      <c r="A23" s="26"/>
      <c r="B23" s="26"/>
      <c r="C23" s="34"/>
      <c r="D23" s="26"/>
      <c r="E23" s="38"/>
      <c r="F23" s="38"/>
      <c r="G23" s="38"/>
      <c r="H23" s="38"/>
      <c r="I23" s="45"/>
    </row>
    <row r="24" spans="1:9" x14ac:dyDescent="0.3">
      <c r="A24" s="26"/>
      <c r="B24" s="26"/>
      <c r="C24" s="34"/>
      <c r="D24" s="26"/>
      <c r="E24" s="38"/>
      <c r="F24" s="38"/>
      <c r="G24" s="38"/>
      <c r="H24" s="38"/>
      <c r="I24" s="45"/>
    </row>
    <row r="25" spans="1:9" x14ac:dyDescent="0.3">
      <c r="A25" s="26"/>
      <c r="B25" s="26"/>
      <c r="C25" s="34"/>
      <c r="D25" s="26"/>
      <c r="E25" s="38"/>
      <c r="F25" s="38"/>
      <c r="G25" s="38"/>
      <c r="H25" s="38"/>
      <c r="I25" s="45"/>
    </row>
    <row r="26" spans="1:9" x14ac:dyDescent="0.3">
      <c r="A26" s="26"/>
      <c r="B26" s="26"/>
      <c r="C26" s="34"/>
      <c r="D26" s="26"/>
      <c r="E26" s="38"/>
      <c r="F26" s="38"/>
      <c r="G26" s="38"/>
      <c r="H26" s="38"/>
      <c r="I26" s="45"/>
    </row>
    <row r="27" spans="1:9" x14ac:dyDescent="0.3">
      <c r="A27" s="26"/>
      <c r="B27" s="26"/>
      <c r="C27" s="34"/>
      <c r="D27" s="26"/>
      <c r="E27" s="38"/>
      <c r="F27" s="38"/>
      <c r="G27" s="38"/>
      <c r="H27" s="38"/>
      <c r="I27" s="45"/>
    </row>
    <row r="28" spans="1:9" x14ac:dyDescent="0.3">
      <c r="A28" s="26"/>
      <c r="B28" s="26"/>
      <c r="C28" s="34"/>
      <c r="D28" s="26"/>
      <c r="E28" s="38"/>
      <c r="F28" s="38"/>
      <c r="G28" s="38"/>
      <c r="H28" s="38"/>
      <c r="I28" s="45"/>
    </row>
    <row r="29" spans="1:9" x14ac:dyDescent="0.3">
      <c r="A29" s="26"/>
      <c r="B29" s="26"/>
      <c r="C29" s="34"/>
      <c r="D29" s="26"/>
      <c r="E29" s="38"/>
      <c r="F29" s="38"/>
      <c r="G29" s="38"/>
      <c r="H29" s="38"/>
      <c r="I29" s="45"/>
    </row>
    <row r="30" spans="1:9" x14ac:dyDescent="0.3">
      <c r="A30" s="26"/>
      <c r="B30" s="26"/>
      <c r="C30" s="34"/>
      <c r="D30" s="26"/>
      <c r="E30" s="38"/>
      <c r="F30" s="38"/>
      <c r="G30" s="38"/>
      <c r="H30" s="38"/>
      <c r="I30" s="45"/>
    </row>
    <row r="31" spans="1:9" x14ac:dyDescent="0.3">
      <c r="A31" s="25"/>
      <c r="B31" s="25"/>
      <c r="C31" s="35"/>
      <c r="D31" s="25"/>
      <c r="E31" s="42"/>
      <c r="F31" s="42"/>
      <c r="G31" s="42"/>
      <c r="H31" s="42"/>
      <c r="I31" s="45"/>
    </row>
    <row r="32" spans="1:9" x14ac:dyDescent="0.3">
      <c r="A32" s="25"/>
      <c r="B32" s="25"/>
      <c r="C32" s="35"/>
      <c r="D32" s="25"/>
      <c r="E32" s="42"/>
      <c r="F32" s="42"/>
      <c r="G32" s="42"/>
      <c r="H32" s="42"/>
      <c r="I32" s="45"/>
    </row>
    <row r="33" spans="1:9" x14ac:dyDescent="0.3">
      <c r="A33" s="25"/>
      <c r="B33" s="25"/>
      <c r="C33" s="35"/>
      <c r="D33" s="25"/>
      <c r="E33" s="42"/>
      <c r="F33" s="42"/>
      <c r="G33" s="42"/>
      <c r="H33" s="42"/>
      <c r="I33" s="45"/>
    </row>
    <row r="34" spans="1:9" x14ac:dyDescent="0.3">
      <c r="A34" s="25"/>
      <c r="B34" s="25"/>
      <c r="C34" s="35"/>
      <c r="D34" s="25"/>
      <c r="E34" s="42"/>
      <c r="F34" s="42"/>
      <c r="G34" s="42"/>
      <c r="H34" s="42"/>
      <c r="I34" s="45"/>
    </row>
  </sheetData>
  <sheetProtection formatCells="0" formatColumns="0" formatRows="0" sort="0" autoFilter="0" pivotTables="0"/>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9"/>
  <sheetViews>
    <sheetView zoomScaleNormal="100" workbookViewId="0">
      <pane ySplit="1" topLeftCell="A2" activePane="bottomLeft" state="frozen"/>
      <selection pane="bottomLeft" activeCell="D31" sqref="D31"/>
    </sheetView>
  </sheetViews>
  <sheetFormatPr defaultRowHeight="14.4" outlineLevelCol="1" x14ac:dyDescent="0.3"/>
  <cols>
    <col min="1" max="1" width="29.6640625" bestFit="1" customWidth="1"/>
    <col min="2" max="2" width="11.33203125" customWidth="1"/>
    <col min="3" max="3" width="23.33203125" customWidth="1"/>
    <col min="4" max="4" width="30.88671875" customWidth="1"/>
    <col min="5" max="5" width="10.6640625" customWidth="1" outlineLevel="1"/>
    <col min="6" max="6" width="19.109375" customWidth="1" outlineLevel="1"/>
    <col min="7" max="7" width="12.33203125" customWidth="1" outlineLevel="1"/>
    <col min="8" max="8" width="11.33203125" customWidth="1" outlineLevel="1"/>
    <col min="9" max="9" width="14.33203125" customWidth="1" outlineLevel="1"/>
    <col min="10" max="10" width="11.109375" customWidth="1" outlineLevel="1"/>
    <col min="11" max="11" width="21" customWidth="1" outlineLevel="1"/>
    <col min="12" max="12" width="13.33203125" customWidth="1" outlineLevel="1"/>
    <col min="13" max="16" width="12.6640625" customWidth="1" outlineLevel="1"/>
    <col min="17" max="17" width="56.109375" customWidth="1"/>
  </cols>
  <sheetData>
    <row r="1" spans="1:17" ht="42.6" customHeight="1" x14ac:dyDescent="0.3">
      <c r="A1" s="14" t="s">
        <v>12</v>
      </c>
      <c r="B1" s="14" t="s">
        <v>13</v>
      </c>
      <c r="C1" s="15" t="s">
        <v>14</v>
      </c>
      <c r="D1" s="15" t="s">
        <v>15</v>
      </c>
      <c r="E1" s="15" t="s">
        <v>16</v>
      </c>
      <c r="F1" s="6" t="s">
        <v>17</v>
      </c>
      <c r="G1" s="6" t="s">
        <v>18</v>
      </c>
      <c r="H1" s="6" t="s">
        <v>19</v>
      </c>
      <c r="I1" s="6" t="s">
        <v>20</v>
      </c>
      <c r="J1" s="6" t="s">
        <v>21</v>
      </c>
      <c r="K1" s="4" t="s">
        <v>22</v>
      </c>
      <c r="L1" s="4" t="s">
        <v>23</v>
      </c>
      <c r="M1" s="4" t="s">
        <v>24</v>
      </c>
      <c r="N1" s="4" t="s">
        <v>25</v>
      </c>
      <c r="O1" s="4" t="s">
        <v>26</v>
      </c>
      <c r="P1" s="4" t="s">
        <v>27</v>
      </c>
      <c r="Q1" s="14" t="s">
        <v>28</v>
      </c>
    </row>
    <row r="2" spans="1:17" ht="28.8" x14ac:dyDescent="0.3">
      <c r="A2" s="7" t="s">
        <v>65</v>
      </c>
      <c r="B2" s="5">
        <v>1</v>
      </c>
      <c r="C2" s="20" t="s">
        <v>1</v>
      </c>
      <c r="D2" s="8" t="s">
        <v>67</v>
      </c>
      <c r="E2" s="9" t="s">
        <v>32</v>
      </c>
      <c r="F2" s="10" t="s">
        <v>71</v>
      </c>
      <c r="G2" s="10" t="s">
        <v>5</v>
      </c>
      <c r="H2" s="11" t="s">
        <v>7</v>
      </c>
      <c r="I2" s="11" t="s">
        <v>5</v>
      </c>
      <c r="J2" s="11" t="s">
        <v>7</v>
      </c>
      <c r="K2" s="12" t="s">
        <v>11</v>
      </c>
      <c r="L2" s="12" t="s">
        <v>7</v>
      </c>
      <c r="M2" s="12" t="s">
        <v>37</v>
      </c>
      <c r="N2" s="12" t="s">
        <v>31</v>
      </c>
      <c r="O2" s="12" t="s">
        <v>31</v>
      </c>
      <c r="P2" s="12" t="s">
        <v>7</v>
      </c>
      <c r="Q2" s="13" t="s">
        <v>38</v>
      </c>
    </row>
    <row r="3" spans="1:17" x14ac:dyDescent="0.3">
      <c r="A3" s="7" t="s">
        <v>65</v>
      </c>
      <c r="B3" s="5">
        <v>2</v>
      </c>
      <c r="C3" s="20" t="s">
        <v>2</v>
      </c>
      <c r="D3" s="8" t="s">
        <v>39</v>
      </c>
      <c r="E3" s="9" t="s">
        <v>32</v>
      </c>
      <c r="F3" s="10" t="s">
        <v>40</v>
      </c>
      <c r="G3" s="10" t="s">
        <v>5</v>
      </c>
      <c r="H3" s="11" t="s">
        <v>7</v>
      </c>
      <c r="I3" s="11" t="s">
        <v>5</v>
      </c>
      <c r="J3" s="11" t="s">
        <v>7</v>
      </c>
      <c r="K3" s="12" t="s">
        <v>11</v>
      </c>
      <c r="L3" s="12" t="s">
        <v>7</v>
      </c>
      <c r="M3" s="12" t="s">
        <v>33</v>
      </c>
      <c r="N3" s="12" t="s">
        <v>35</v>
      </c>
      <c r="O3" s="12" t="s">
        <v>36</v>
      </c>
      <c r="P3" s="12" t="s">
        <v>5</v>
      </c>
      <c r="Q3" s="13" t="s">
        <v>41</v>
      </c>
    </row>
    <row r="4" spans="1:17" x14ac:dyDescent="0.3">
      <c r="A4" s="7" t="s">
        <v>65</v>
      </c>
      <c r="B4" s="5">
        <v>3</v>
      </c>
      <c r="C4" s="20" t="s">
        <v>3</v>
      </c>
      <c r="D4" s="8" t="s">
        <v>42</v>
      </c>
      <c r="E4" s="9" t="s">
        <v>32</v>
      </c>
      <c r="F4" s="10" t="s">
        <v>43</v>
      </c>
      <c r="G4" s="10" t="s">
        <v>7</v>
      </c>
      <c r="H4" s="11" t="s">
        <v>7</v>
      </c>
      <c r="I4" s="11" t="s">
        <v>5</v>
      </c>
      <c r="J4" s="11" t="s">
        <v>7</v>
      </c>
      <c r="K4" s="12" t="s">
        <v>11</v>
      </c>
      <c r="L4" s="12" t="s">
        <v>5</v>
      </c>
      <c r="M4" s="12" t="s">
        <v>33</v>
      </c>
      <c r="N4" s="12" t="s">
        <v>31</v>
      </c>
      <c r="O4" s="12" t="s">
        <v>31</v>
      </c>
      <c r="P4" s="12" t="s">
        <v>7</v>
      </c>
      <c r="Q4" s="13" t="s">
        <v>44</v>
      </c>
    </row>
    <row r="5" spans="1:17" x14ac:dyDescent="0.3">
      <c r="A5" s="7" t="s">
        <v>65</v>
      </c>
      <c r="B5" s="5">
        <v>4</v>
      </c>
      <c r="C5" s="20" t="s">
        <v>4</v>
      </c>
      <c r="D5" s="8" t="s">
        <v>66</v>
      </c>
      <c r="E5" s="9" t="s">
        <v>29</v>
      </c>
      <c r="F5" s="10" t="s">
        <v>34</v>
      </c>
      <c r="G5" s="10" t="s">
        <v>7</v>
      </c>
      <c r="H5" s="11" t="s">
        <v>7</v>
      </c>
      <c r="I5" s="11" t="s">
        <v>5</v>
      </c>
      <c r="J5" s="11" t="s">
        <v>7</v>
      </c>
      <c r="K5" s="12" t="s">
        <v>11</v>
      </c>
      <c r="L5" s="12" t="s">
        <v>7</v>
      </c>
      <c r="M5" s="12" t="s">
        <v>30</v>
      </c>
      <c r="N5" s="12" t="s">
        <v>31</v>
      </c>
      <c r="O5" s="12" t="s">
        <v>31</v>
      </c>
      <c r="P5" s="12" t="s">
        <v>7</v>
      </c>
      <c r="Q5" s="13" t="s">
        <v>45</v>
      </c>
    </row>
    <row r="6" spans="1:17" x14ac:dyDescent="0.3">
      <c r="A6" s="7" t="s">
        <v>65</v>
      </c>
      <c r="B6" s="5">
        <v>5</v>
      </c>
      <c r="C6" s="18" t="s">
        <v>8</v>
      </c>
      <c r="D6" s="22" t="s">
        <v>62</v>
      </c>
      <c r="E6" s="9" t="s">
        <v>46</v>
      </c>
      <c r="F6" s="10" t="s">
        <v>49</v>
      </c>
      <c r="G6" s="10" t="s">
        <v>7</v>
      </c>
      <c r="H6" s="11" t="s">
        <v>7</v>
      </c>
      <c r="I6" s="11" t="s">
        <v>5</v>
      </c>
      <c r="J6" s="11" t="s">
        <v>7</v>
      </c>
      <c r="K6" s="12" t="s">
        <v>11</v>
      </c>
      <c r="L6" s="12" t="s">
        <v>7</v>
      </c>
      <c r="M6" s="12" t="s">
        <v>30</v>
      </c>
      <c r="N6" s="12" t="s">
        <v>47</v>
      </c>
      <c r="O6" s="12" t="s">
        <v>48</v>
      </c>
      <c r="P6" s="12" t="s">
        <v>7</v>
      </c>
      <c r="Q6" s="13" t="s">
        <v>50</v>
      </c>
    </row>
    <row r="7" spans="1:17" x14ac:dyDescent="0.3">
      <c r="A7" s="7" t="s">
        <v>65</v>
      </c>
      <c r="B7" s="5">
        <v>6</v>
      </c>
      <c r="C7" s="18" t="s">
        <v>9</v>
      </c>
      <c r="D7" s="22" t="s">
        <v>63</v>
      </c>
      <c r="E7" s="9" t="s">
        <v>46</v>
      </c>
      <c r="F7" s="10" t="s">
        <v>56</v>
      </c>
      <c r="G7" s="10" t="s">
        <v>7</v>
      </c>
      <c r="H7" s="11" t="s">
        <v>7</v>
      </c>
      <c r="I7" s="11" t="s">
        <v>5</v>
      </c>
      <c r="J7" s="11" t="s">
        <v>7</v>
      </c>
      <c r="K7" s="12" t="s">
        <v>11</v>
      </c>
      <c r="L7" s="12" t="s">
        <v>7</v>
      </c>
      <c r="M7" s="12" t="s">
        <v>30</v>
      </c>
      <c r="N7" s="12" t="s">
        <v>47</v>
      </c>
      <c r="O7" s="12" t="s">
        <v>48</v>
      </c>
      <c r="P7" s="12" t="s">
        <v>7</v>
      </c>
      <c r="Q7" s="13" t="s">
        <v>51</v>
      </c>
    </row>
    <row r="8" spans="1:17" x14ac:dyDescent="0.3">
      <c r="A8" s="7" t="s">
        <v>65</v>
      </c>
      <c r="B8" s="5">
        <v>7</v>
      </c>
      <c r="C8" s="18" t="s">
        <v>55</v>
      </c>
      <c r="D8" s="22" t="s">
        <v>64</v>
      </c>
      <c r="E8" s="9" t="s">
        <v>46</v>
      </c>
      <c r="F8" s="10" t="s">
        <v>49</v>
      </c>
      <c r="G8" s="10" t="s">
        <v>7</v>
      </c>
      <c r="H8" s="11" t="s">
        <v>7</v>
      </c>
      <c r="I8" s="11" t="s">
        <v>5</v>
      </c>
      <c r="J8" s="11" t="s">
        <v>7</v>
      </c>
      <c r="K8" s="12" t="s">
        <v>11</v>
      </c>
      <c r="L8" s="12" t="s">
        <v>7</v>
      </c>
      <c r="M8" s="12" t="s">
        <v>30</v>
      </c>
      <c r="N8" s="12" t="s">
        <v>47</v>
      </c>
      <c r="O8" s="12" t="s">
        <v>48</v>
      </c>
      <c r="P8" s="12" t="s">
        <v>7</v>
      </c>
      <c r="Q8" s="13" t="s">
        <v>58</v>
      </c>
    </row>
    <row r="9" spans="1:17" ht="28.8" x14ac:dyDescent="0.3">
      <c r="A9" s="7" t="s">
        <v>65</v>
      </c>
      <c r="B9" s="5">
        <v>8</v>
      </c>
      <c r="C9" s="18" t="s">
        <v>10</v>
      </c>
      <c r="D9" s="22" t="s">
        <v>70</v>
      </c>
      <c r="E9" s="9" t="s">
        <v>29</v>
      </c>
      <c r="F9" s="10" t="s">
        <v>57</v>
      </c>
      <c r="G9" s="10" t="s">
        <v>7</v>
      </c>
      <c r="H9" s="11" t="s">
        <v>7</v>
      </c>
      <c r="I9" s="11" t="s">
        <v>5</v>
      </c>
      <c r="J9" s="11" t="s">
        <v>7</v>
      </c>
      <c r="K9" s="12" t="s">
        <v>11</v>
      </c>
      <c r="L9" s="12" t="s">
        <v>7</v>
      </c>
      <c r="M9" s="12" t="s">
        <v>30</v>
      </c>
      <c r="N9" s="12" t="s">
        <v>31</v>
      </c>
      <c r="O9" s="12" t="s">
        <v>48</v>
      </c>
      <c r="P9" s="12" t="s">
        <v>7</v>
      </c>
      <c r="Q9" s="13" t="s">
        <v>52</v>
      </c>
    </row>
  </sheetData>
  <phoneticPr fontId="19" type="noConversion"/>
  <conditionalFormatting sqref="G2:G9">
    <cfRule type="expression" dxfId="5" priority="5">
      <formula>IF($G2="true",1,0)</formula>
    </cfRule>
  </conditionalFormatting>
  <conditionalFormatting sqref="H2:H9">
    <cfRule type="expression" dxfId="4" priority="7">
      <formula>IF($H2="true",1,0)</formula>
    </cfRule>
  </conditionalFormatting>
  <conditionalFormatting sqref="I2:I9">
    <cfRule type="cellIs" dxfId="3" priority="2" operator="equal">
      <formula>"true"</formula>
    </cfRule>
  </conditionalFormatting>
  <conditionalFormatting sqref="J2:J9">
    <cfRule type="expression" dxfId="2" priority="6">
      <formula>IF($J2="true",1,0)</formula>
    </cfRule>
  </conditionalFormatting>
  <conditionalFormatting sqref="K2:K9">
    <cfRule type="expression" dxfId="1" priority="4">
      <formula>IF($K2&lt;&gt;"none",1,0)</formula>
    </cfRule>
  </conditionalFormatting>
  <conditionalFormatting sqref="L2:L9">
    <cfRule type="expression" dxfId="0" priority="3">
      <formula>IF($L2="true",1,0)</formula>
    </cfRule>
  </conditionalFormatting>
  <dataValidations count="6">
    <dataValidation type="list" allowBlank="1" showInputMessage="1" showErrorMessage="1" sqref="O2:O9" xr:uid="{B4E8464F-798E-4996-B186-9C5B74FDE85A}">
      <formula1>"left,center,right,"</formula1>
    </dataValidation>
    <dataValidation type="list" showInputMessage="1" showErrorMessage="1" sqref="N2:N9" xr:uid="{D390489B-D2EC-4169-BF55-4C0809B0690B}">
      <formula1>"up,center,down,"</formula1>
    </dataValidation>
    <dataValidation type="list" showInputMessage="1" showErrorMessage="1" sqref="E2:E9" xr:uid="{92C8B38C-AE75-485D-BA39-38E679C69393}">
      <formula1>"text,int,float,bool,"</formula1>
    </dataValidation>
    <dataValidation type="list" showInputMessage="1" showErrorMessage="1" sqref="G2:J9 L2:L9" xr:uid="{DBEE043F-7460-4994-BFBF-9ADEB36E8C6E}">
      <formula1>"false,true,"</formula1>
    </dataValidation>
    <dataValidation type="list" allowBlank="1" showInputMessage="1" showErrorMessage="1" sqref="P2:P9" xr:uid="{70C4688D-8356-4AE9-8CF4-88699F7CA265}">
      <formula1>"false,true,"</formula1>
    </dataValidation>
    <dataValidation type="list" showInputMessage="1" showErrorMessage="1" sqref="M2:M9"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D2"/>
  <sheetViews>
    <sheetView zoomScaleNormal="100" workbookViewId="0">
      <pane ySplit="1" topLeftCell="A2" activePane="bottomLeft" state="frozen"/>
      <selection pane="bottomLeft" activeCell="C6" sqref="C6"/>
    </sheetView>
  </sheetViews>
  <sheetFormatPr defaultRowHeight="14.4" x14ac:dyDescent="0.3"/>
  <cols>
    <col min="1" max="1" width="10.44140625" customWidth="1"/>
    <col min="2" max="2" width="36.5546875" style="2" customWidth="1"/>
    <col min="3" max="3" width="88.109375" customWidth="1"/>
    <col min="4" max="4" width="59.5546875" customWidth="1"/>
  </cols>
  <sheetData>
    <row r="1" spans="1:4" x14ac:dyDescent="0.3">
      <c r="A1" s="1" t="s">
        <v>0</v>
      </c>
      <c r="B1" s="1" t="s">
        <v>53</v>
      </c>
      <c r="C1" s="3" t="s">
        <v>54</v>
      </c>
      <c r="D1" s="4" t="s">
        <v>28</v>
      </c>
    </row>
    <row r="2" spans="1:4" ht="226.95" customHeight="1" x14ac:dyDescent="0.3">
      <c r="A2" s="16">
        <v>1</v>
      </c>
      <c r="B2" s="21" t="s">
        <v>68</v>
      </c>
      <c r="C2" s="17" t="s">
        <v>73</v>
      </c>
      <c r="D2" s="19" t="s">
        <v>59</v>
      </c>
    </row>
  </sheetData>
  <phoneticPr fontId="19"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rev.05 v03
Версия ETL процессора: rev.05 v03</_x041f__x0440__x0438__x043c__x0435__x0447__x0430__x043d__x0438__x044f_>
    <TaxCatchAll xmlns="00626a45-2e8b-44e2-b2b6-fb30aea60018" xsi:nil="true"/>
  </documentManagement>
</p:properties>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21.xml>��
</file>

<file path=customXml/item22.xml>��
</file>

<file path=customXml/item23.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24.xml>��
</file>

<file path=customXml/item25.xml>��
</file>

<file path=customXml/itemProps1.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2.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3.xml><?xml version="1.0" encoding="utf-8"?>
<ds:datastoreItem xmlns:ds="http://schemas.openxmlformats.org/officeDocument/2006/customXml" ds:itemID="{1227D4DB-7E94-4BAD-BCFC-DC0425447207}">
  <ds:schemaRefs>
    <ds:schemaRef ds:uri="http://gemini/pivotcustomization/TableXML_TabEmployeeList"/>
  </ds:schemaRefs>
</ds:datastoreItem>
</file>

<file path=customXml/itemProps4.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5.xml><?xml version="1.0" encoding="utf-8"?>
<ds:datastoreItem xmlns:ds="http://schemas.openxmlformats.org/officeDocument/2006/customXml" ds:itemID="{CBBC371F-D438-4E26-899A-F00123216BBA}">
  <ds:schemaRefs>
    <ds:schemaRef ds:uri="http://gemini/pivotcustomization/ErrorCache"/>
  </ds:schemaRefs>
</ds:datastoreItem>
</file>

<file path=customXml/itemProps6.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7.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8.xml><?xml version="1.0" encoding="utf-8"?>
<ds:datastoreItem xmlns:ds="http://schemas.openxmlformats.org/officeDocument/2006/customXml" ds:itemID="{4F428D2F-958C-4F90-BAE5-DE993D97C453}">
  <ds:schemaRefs>
    <ds:schemaRef ds:uri="http://schemas.microsoft.com/office/infopath/2007/PartnerControls"/>
    <ds:schemaRef ds:uri="http://www.w3.org/XML/1998/namespace"/>
    <ds:schemaRef ds:uri="http://schemas.microsoft.com/office/2006/metadata/properties"/>
    <ds:schemaRef ds:uri="9d226c47-cd18-4964-9161-6ccb92249125"/>
    <ds:schemaRef ds:uri="http://schemas.openxmlformats.org/package/2006/metadata/core-properties"/>
    <ds:schemaRef ds:uri="http://schemas.microsoft.com/office/2006/documentManagement/types"/>
    <ds:schemaRef ds:uri="http://purl.org/dc/dcmitype/"/>
    <ds:schemaRef ds:uri="http://purl.org/dc/elements/1.1/"/>
    <ds:schemaRef ds:uri="http://purl.org/dc/terms/"/>
    <ds:schemaRef ds:uri="00626a45-2e8b-44e2-b2b6-fb30aea60018"/>
  </ds:schemaRefs>
</ds:datastoreItem>
</file>

<file path=customXml/itemProps9.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10.xml><?xml version="1.0" encoding="utf-8"?>
<ds:datastoreItem xmlns:ds="http://schemas.openxmlformats.org/officeDocument/2006/customXml" ds:itemID="{E7211B9E-D327-4E0E-8C5C-49BE9214F9B9}">
  <ds:schemaRefs>
    <ds:schemaRef ds:uri="http://gemini/pivotcustomization/TableXML_TabDepartamentMAS"/>
  </ds:schemaRefs>
</ds:datastoreItem>
</file>

<file path=customXml/itemProps11.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12.xml><?xml version="1.0" encoding="utf-8"?>
<ds:datastoreItem xmlns:ds="http://schemas.openxmlformats.org/officeDocument/2006/customXml" ds:itemID="{BEFD5417-6C9B-4484-B9FA-AD6C08857211}">
  <ds:schemaRefs>
    <ds:schemaRef ds:uri="http://gemini/pivotcustomization/MeasureGridState"/>
  </ds:schemaRefs>
</ds:datastoreItem>
</file>

<file path=customXml/itemProps13.xml><?xml version="1.0" encoding="utf-8"?>
<ds:datastoreItem xmlns:ds="http://schemas.openxmlformats.org/officeDocument/2006/customXml" ds:itemID="{620C677B-6476-4AB2-82D8-06CF3B1D2316}">
  <ds:schemaRefs>
    <ds:schemaRef ds:uri="http://gemini/pivotcustomization/ShowHidden"/>
  </ds:schemaRefs>
</ds:datastoreItem>
</file>

<file path=customXml/itemProps14.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15.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16.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17.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xml><?xml version="1.0" encoding="utf-8"?>
<ds:datastoreItem xmlns:ds="http://schemas.openxmlformats.org/officeDocument/2006/customXml" ds:itemID="{E5D20989-897E-43AF-BCD1-629124E8DE46}">
  <ds:schemaRefs>
    <ds:schemaRef ds:uri="http://gemini/pivotcustomization/TableXML_TabDepartament"/>
  </ds:schemaRefs>
</ds:datastoreItem>
</file>

<file path=customXml/itemProps19.xml><?xml version="1.0" encoding="utf-8"?>
<ds:datastoreItem xmlns:ds="http://schemas.openxmlformats.org/officeDocument/2006/customXml" ds:itemID="{AAA16094-6EFC-4DAB-BA70-5996474E7C0D}">
  <ds:schemaRefs>
    <ds:schemaRef ds:uri="http://schemas.microsoft.com/DataMashup"/>
  </ds:schemaRefs>
</ds:datastoreItem>
</file>

<file path=customXml/itemProps20.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21.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22.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23.xml><?xml version="1.0" encoding="utf-8"?>
<ds:datastoreItem xmlns:ds="http://schemas.openxmlformats.org/officeDocument/2006/customXml" ds:itemID="{CE1858E8-BA2D-4875-9272-28444F7693F6}">
  <ds:schemaRefs>
    <ds:schemaRef ds:uri="http://gemini/pivotcustomization/Diagrams"/>
  </ds:schemaRefs>
</ds:datastoreItem>
</file>

<file path=customXml/itemProps24.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25.xml><?xml version="1.0" encoding="utf-8"?>
<ds:datastoreItem xmlns:ds="http://schemas.openxmlformats.org/officeDocument/2006/customXml" ds:itemID="{CCD3C4FF-65BF-403E-94C5-A7CC9DB96C19}">
  <ds:schemaRefs>
    <ds:schemaRef ds:uri="http://gemini/pivotcustomization/TableOrder"/>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SpecificationToCustomerFin</vt:lpstr>
      <vt:lpstr>TableSchema</vt:lpstr>
      <vt:lpstr>ConfigJSON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Иван Кукушкин</cp:lastModifiedBy>
  <cp:revision/>
  <dcterms:created xsi:type="dcterms:W3CDTF">2023-07-03T07:42:32Z</dcterms:created>
  <dcterms:modified xsi:type="dcterms:W3CDTF">2026-10-19T10:44:55Z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