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60f393676dadff3/06__LLS_Horizon_2025/CONTRACT/2026/8_2026-N1-Горизонт/03__Проект/77__Контрагенты/01__Конструкторы/02__In/"/>
    </mc:Choice>
  </mc:AlternateContent>
  <xr:revisionPtr revIDLastSave="51" documentId="13_ncr:1_{B23DCCEA-AAD7-4108-8A35-7A2613809612}" xr6:coauthVersionLast="47" xr6:coauthVersionMax="47" xr10:uidLastSave="{694AC3DB-4E7D-44FE-9BF7-B3BC36A2D8A7}"/>
  <bookViews>
    <workbookView xWindow="12216" yWindow="8676" windowWidth="15576" windowHeight="16044" xr2:uid="{00000000-000D-0000-FFFF-FFFF00000000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" l="1"/>
  <c r="E75" i="1" s="1"/>
  <c r="D7" i="1" l="1"/>
  <c r="E7" i="1" s="1"/>
  <c r="D14" i="1"/>
  <c r="E14" i="1" s="1"/>
  <c r="D21" i="1"/>
  <c r="E21" i="1" s="1"/>
  <c r="D33" i="1"/>
  <c r="E33" i="1" s="1"/>
  <c r="D40" i="1"/>
  <c r="E40" i="1" s="1"/>
  <c r="D47" i="1"/>
  <c r="E47" i="1" s="1"/>
  <c r="D61" i="1"/>
  <c r="D69" i="1"/>
  <c r="E69" i="1" s="1"/>
  <c r="E61" i="1" l="1"/>
  <c r="E77" i="1" s="1"/>
  <c r="D77" i="1"/>
</calcChain>
</file>

<file path=xl/sharedStrings.xml><?xml version="1.0" encoding="utf-8"?>
<sst xmlns="http://schemas.openxmlformats.org/spreadsheetml/2006/main" count="82" uniqueCount="32">
  <si>
    <t>МОДУЛЬ РАЗМЕЩЕНИЯ ЭЛЕКТРОНИКИ</t>
  </si>
  <si>
    <t xml:space="preserve">Обмер </t>
  </si>
  <si>
    <t>3D компонентов</t>
  </si>
  <si>
    <t>3D проект</t>
  </si>
  <si>
    <t>КД</t>
  </si>
  <si>
    <t>ВНЕШНЯЯ КОММУТАТЦИЯ СЕТИ ~230В</t>
  </si>
  <si>
    <t>ПЕРЕРАБОТКА ДВЕРИ №1</t>
  </si>
  <si>
    <t>УСТАНОВКА ДИСПЛЕЯ+RFID В ДВЕРЬ №2</t>
  </si>
  <si>
    <t>или</t>
  </si>
  <si>
    <t>Доработка</t>
  </si>
  <si>
    <t>Замена</t>
  </si>
  <si>
    <t>ПЕРЕРАБОТКА ТОЧЕК КРЕПЛЕНИЯ КОЛЕС</t>
  </si>
  <si>
    <t>КРОНШТЕЙН КАМЕР ВИДЕОНАБЛЮДЕНИЯ</t>
  </si>
  <si>
    <t xml:space="preserve"> (при возможности)</t>
  </si>
  <si>
    <t>КРОНШТЕЙН МОДУЛЯ МОНОБЛОКА</t>
  </si>
  <si>
    <t>Изучение аналогов</t>
  </si>
  <si>
    <t>Разработка своего</t>
  </si>
  <si>
    <t>Адаптация покупного</t>
  </si>
  <si>
    <t>Тара (+ закрепление полок)</t>
  </si>
  <si>
    <t>Рабочих дней</t>
  </si>
  <si>
    <t>Приоритет 1</t>
  </si>
  <si>
    <t>Приоритет 2</t>
  </si>
  <si>
    <t>Приоритет 3</t>
  </si>
  <si>
    <t xml:space="preserve"> </t>
  </si>
  <si>
    <t>Итого</t>
  </si>
  <si>
    <t>Общий итог</t>
  </si>
  <si>
    <t>(3,9 месяца)</t>
  </si>
  <si>
    <t>т. руб</t>
  </si>
  <si>
    <t>Эскизы общего вида</t>
  </si>
  <si>
    <t>N</t>
  </si>
  <si>
    <t>NAME WORK</t>
  </si>
  <si>
    <t>COMPOSION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</si>
</sst>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7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4" fontId="0" fillId="0" borderId="0" xfId="0" applyNumberFormat="1"/>
    <xf numFmtId="0" fontId="2" fillId="0" borderId="1" xfId="0" applyFont="1" applyBorder="1"/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2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 vertical="center"/>
    </xf>
  </cellXfs>
  <cellStyles count="1">
    <cellStyle name="Обычный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A66816-582E-4022-B836-62B32527C393}" name="Таблица1" displayName="Таблица1" ref="A1:E78" totalsRowShown="0" headerRowDxfId="7" headerRowBorderDxfId="6" tableBorderDxfId="5" totalsRowBorderDxfId="4">
  <autoFilter ref="A1:E78" xr:uid="{1EA66816-582E-4022-B836-62B32527C393}"/>
  <tableColumns count="5">
    <tableColumn id="1" xr3:uid="{2FD07B06-47A0-4694-9B42-807DC0C384BB}" name="N" dataDxfId="3"/>
    <tableColumn id="2" xr3:uid="{DB3A0276-FF0E-46EE-BF93-9278D366DA68}" name="NAME WORK" dataDxfId="2"/>
    <tableColumn id="3" xr3:uid="{745D3662-5FD5-4270-8EA7-2441C3D132D3}" name="COMPOSION" dataDxfId="1"/>
    <tableColumn id="4" xr3:uid="{173764D9-452C-4B87-B6CC-3F833D255C27}" name="Рабочих дней" dataDxfId="0"/>
    <tableColumn id="5" xr3:uid="{F0C15884-0B4D-43F5-AA17-0A7F855F44B3}" name="т. руб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5"/>
  <sheetViews>
    <sheetView tabSelected="1" topLeftCell="A57" zoomScale="115" zoomScaleNormal="115" workbookViewId="0">
      <selection activeCell="A74" sqref="A74:A77"/>
    </sheetView>
  </sheetViews>
  <sheetFormatPr defaultRowHeight="14.4" x14ac:dyDescent="0.3"/>
  <cols>
    <col min="1" max="1" width="9.109375" style="1"/>
    <col min="2" max="2" width="40.109375" customWidth="1"/>
    <col min="3" max="3" width="19" customWidth="1"/>
    <col min="4" max="4" width="14.6640625" style="1" customWidth="1"/>
    <col min="5" max="5" width="9.109375" style="5"/>
  </cols>
  <sheetData>
    <row r="1" spans="1:6" x14ac:dyDescent="0.3">
      <c r="A1" s="23" t="s">
        <v>29</v>
      </c>
      <c r="B1" s="24" t="s">
        <v>30</v>
      </c>
      <c r="C1" s="24" t="s">
        <v>31</v>
      </c>
      <c r="D1" s="24" t="s">
        <v>19</v>
      </c>
      <c r="E1" s="25" t="s">
        <v>27</v>
      </c>
    </row>
    <row r="2" spans="1:6" x14ac:dyDescent="0.3">
      <c r="A2" s="16">
        <v>1</v>
      </c>
      <c r="B2" s="15" t="s">
        <v>0</v>
      </c>
      <c r="C2" s="7"/>
      <c r="D2" s="6"/>
      <c r="E2" s="20"/>
    </row>
    <row r="3" spans="1:6" x14ac:dyDescent="0.3">
      <c r="A3" s="16">
        <v>1</v>
      </c>
      <c r="B3" s="7"/>
      <c r="C3" s="7" t="s">
        <v>1</v>
      </c>
      <c r="D3" s="6">
        <v>2</v>
      </c>
      <c r="E3" s="20"/>
    </row>
    <row r="4" spans="1:6" x14ac:dyDescent="0.3">
      <c r="A4" s="16">
        <v>1</v>
      </c>
      <c r="B4" s="7"/>
      <c r="C4" s="7" t="s">
        <v>2</v>
      </c>
      <c r="D4" s="6">
        <v>5</v>
      </c>
      <c r="E4" s="20"/>
    </row>
    <row r="5" spans="1:6" x14ac:dyDescent="0.3">
      <c r="A5" s="16">
        <v>1</v>
      </c>
      <c r="B5" s="7"/>
      <c r="C5" s="7" t="s">
        <v>3</v>
      </c>
      <c r="D5" s="6">
        <v>5</v>
      </c>
      <c r="E5" s="20"/>
    </row>
    <row r="6" spans="1:6" x14ac:dyDescent="0.3">
      <c r="A6" s="16">
        <v>1</v>
      </c>
      <c r="B6" s="7"/>
      <c r="C6" s="7" t="s">
        <v>4</v>
      </c>
      <c r="D6" s="6">
        <v>5</v>
      </c>
      <c r="E6" s="20"/>
    </row>
    <row r="7" spans="1:6" x14ac:dyDescent="0.3">
      <c r="A7" s="16">
        <v>1</v>
      </c>
      <c r="B7" s="7"/>
      <c r="C7" s="8" t="s">
        <v>24</v>
      </c>
      <c r="D7" s="9">
        <f>SUM(D3:D6)</f>
        <v>17</v>
      </c>
      <c r="E7" s="21">
        <f>D7/22*100</f>
        <v>77.272727272727266</v>
      </c>
      <c r="F7" s="14"/>
    </row>
    <row r="8" spans="1:6" x14ac:dyDescent="0.3">
      <c r="A8" s="16">
        <v>1</v>
      </c>
      <c r="B8" s="7"/>
      <c r="C8" s="7"/>
      <c r="D8" s="6"/>
      <c r="E8" s="20"/>
    </row>
    <row r="9" spans="1:6" x14ac:dyDescent="0.3">
      <c r="A9" s="16">
        <v>2</v>
      </c>
      <c r="B9" s="15" t="s">
        <v>5</v>
      </c>
      <c r="C9" s="7"/>
      <c r="D9" s="6"/>
      <c r="E9" s="20"/>
    </row>
    <row r="10" spans="1:6" x14ac:dyDescent="0.3">
      <c r="A10" s="16">
        <v>2</v>
      </c>
      <c r="B10" s="7"/>
      <c r="C10" s="7" t="s">
        <v>1</v>
      </c>
      <c r="D10" s="6">
        <v>1</v>
      </c>
      <c r="E10" s="20"/>
    </row>
    <row r="11" spans="1:6" x14ac:dyDescent="0.3">
      <c r="A11" s="16">
        <v>2</v>
      </c>
      <c r="B11" s="7"/>
      <c r="C11" s="7" t="s">
        <v>2</v>
      </c>
      <c r="D11" s="6">
        <v>1</v>
      </c>
      <c r="E11" s="20"/>
    </row>
    <row r="12" spans="1:6" x14ac:dyDescent="0.3">
      <c r="A12" s="16">
        <v>2</v>
      </c>
      <c r="B12" s="7"/>
      <c r="C12" s="7" t="s">
        <v>3</v>
      </c>
      <c r="D12" s="6">
        <v>2</v>
      </c>
      <c r="E12" s="20"/>
    </row>
    <row r="13" spans="1:6" x14ac:dyDescent="0.3">
      <c r="A13" s="16">
        <v>2</v>
      </c>
      <c r="B13" s="7"/>
      <c r="C13" s="7" t="s">
        <v>4</v>
      </c>
      <c r="D13" s="6">
        <v>1</v>
      </c>
      <c r="E13" s="20"/>
    </row>
    <row r="14" spans="1:6" x14ac:dyDescent="0.3">
      <c r="A14" s="16">
        <v>2</v>
      </c>
      <c r="B14" s="7"/>
      <c r="C14" s="8" t="s">
        <v>24</v>
      </c>
      <c r="D14" s="9">
        <f>SUM(D10:D13)</f>
        <v>5</v>
      </c>
      <c r="E14" s="22">
        <f>D14/22*100</f>
        <v>22.727272727272727</v>
      </c>
    </row>
    <row r="15" spans="1:6" x14ac:dyDescent="0.3">
      <c r="A15" s="17"/>
      <c r="B15" s="7"/>
      <c r="C15" s="7"/>
      <c r="D15" s="6"/>
      <c r="E15" s="20"/>
    </row>
    <row r="16" spans="1:6" x14ac:dyDescent="0.3">
      <c r="A16" s="18">
        <v>3</v>
      </c>
      <c r="B16" s="15" t="s">
        <v>6</v>
      </c>
      <c r="C16" s="7"/>
      <c r="D16" s="6"/>
      <c r="E16" s="20"/>
    </row>
    <row r="17" spans="1:5" x14ac:dyDescent="0.3">
      <c r="A17" s="18">
        <v>3</v>
      </c>
      <c r="B17" s="7"/>
      <c r="C17" s="7" t="s">
        <v>1</v>
      </c>
      <c r="D17" s="6">
        <v>2</v>
      </c>
      <c r="E17" s="20"/>
    </row>
    <row r="18" spans="1:5" x14ac:dyDescent="0.3">
      <c r="A18" s="18">
        <v>3</v>
      </c>
      <c r="B18" s="7"/>
      <c r="C18" s="7" t="s">
        <v>2</v>
      </c>
      <c r="D18" s="6">
        <v>3</v>
      </c>
      <c r="E18" s="20"/>
    </row>
    <row r="19" spans="1:5" x14ac:dyDescent="0.3">
      <c r="A19" s="18">
        <v>3</v>
      </c>
      <c r="B19" s="7"/>
      <c r="C19" s="7" t="s">
        <v>3</v>
      </c>
      <c r="D19" s="6">
        <v>6</v>
      </c>
      <c r="E19" s="20"/>
    </row>
    <row r="20" spans="1:5" x14ac:dyDescent="0.3">
      <c r="A20" s="18">
        <v>3</v>
      </c>
      <c r="B20" s="7"/>
      <c r="C20" s="7" t="s">
        <v>4</v>
      </c>
      <c r="D20" s="6">
        <v>4</v>
      </c>
      <c r="E20" s="20"/>
    </row>
    <row r="21" spans="1:5" x14ac:dyDescent="0.3">
      <c r="A21" s="18">
        <v>3</v>
      </c>
      <c r="B21" s="7"/>
      <c r="C21" s="8" t="s">
        <v>24</v>
      </c>
      <c r="D21" s="9">
        <f>SUM(D17:D20)</f>
        <v>15</v>
      </c>
      <c r="E21" s="22">
        <f>D21/22*100</f>
        <v>68.181818181818173</v>
      </c>
    </row>
    <row r="22" spans="1:5" x14ac:dyDescent="0.3">
      <c r="A22" s="17"/>
      <c r="B22" s="7"/>
      <c r="C22" s="7"/>
      <c r="D22" s="6"/>
      <c r="E22" s="20"/>
    </row>
    <row r="23" spans="1:5" x14ac:dyDescent="0.3">
      <c r="A23" s="16">
        <v>5</v>
      </c>
      <c r="B23" s="15" t="s">
        <v>7</v>
      </c>
      <c r="C23" s="7"/>
      <c r="D23" s="6"/>
      <c r="E23" s="20"/>
    </row>
    <row r="24" spans="1:5" x14ac:dyDescent="0.3">
      <c r="A24" s="16">
        <v>5</v>
      </c>
      <c r="B24" s="10" t="s">
        <v>9</v>
      </c>
      <c r="C24" s="10" t="s">
        <v>1</v>
      </c>
      <c r="D24" s="11">
        <v>1</v>
      </c>
      <c r="E24" s="20"/>
    </row>
    <row r="25" spans="1:5" x14ac:dyDescent="0.3">
      <c r="A25" s="16">
        <v>5</v>
      </c>
      <c r="B25" s="7"/>
      <c r="C25" s="10" t="s">
        <v>2</v>
      </c>
      <c r="D25" s="11">
        <v>1</v>
      </c>
      <c r="E25" s="20"/>
    </row>
    <row r="26" spans="1:5" x14ac:dyDescent="0.3">
      <c r="A26" s="16">
        <v>5</v>
      </c>
      <c r="B26" s="7"/>
      <c r="C26" s="10" t="s">
        <v>3</v>
      </c>
      <c r="D26" s="11">
        <v>3</v>
      </c>
      <c r="E26" s="20"/>
    </row>
    <row r="27" spans="1:5" x14ac:dyDescent="0.3">
      <c r="A27" s="16">
        <v>5</v>
      </c>
      <c r="B27" s="7"/>
      <c r="C27" s="10" t="s">
        <v>4</v>
      </c>
      <c r="D27" s="11">
        <v>2</v>
      </c>
      <c r="E27" s="20"/>
    </row>
    <row r="28" spans="1:5" x14ac:dyDescent="0.3">
      <c r="A28" s="16">
        <v>5</v>
      </c>
      <c r="B28" s="8" t="s">
        <v>8</v>
      </c>
      <c r="C28" s="7"/>
      <c r="D28" s="6"/>
      <c r="E28" s="20"/>
    </row>
    <row r="29" spans="1:5" x14ac:dyDescent="0.3">
      <c r="A29" s="16">
        <v>5</v>
      </c>
      <c r="B29" s="7" t="s">
        <v>10</v>
      </c>
      <c r="C29" s="7" t="s">
        <v>1</v>
      </c>
      <c r="D29" s="6">
        <v>2</v>
      </c>
      <c r="E29" s="20"/>
    </row>
    <row r="30" spans="1:5" x14ac:dyDescent="0.3">
      <c r="A30" s="16">
        <v>5</v>
      </c>
      <c r="B30" s="7"/>
      <c r="C30" s="7" t="s">
        <v>2</v>
      </c>
      <c r="D30" s="6">
        <v>1</v>
      </c>
      <c r="E30" s="20"/>
    </row>
    <row r="31" spans="1:5" x14ac:dyDescent="0.3">
      <c r="A31" s="16">
        <v>5</v>
      </c>
      <c r="B31" s="7"/>
      <c r="C31" s="7" t="s">
        <v>3</v>
      </c>
      <c r="D31" s="6">
        <v>4</v>
      </c>
      <c r="E31" s="20"/>
    </row>
    <row r="32" spans="1:5" x14ac:dyDescent="0.3">
      <c r="A32" s="16">
        <v>5</v>
      </c>
      <c r="B32" s="7"/>
      <c r="C32" s="7" t="s">
        <v>4</v>
      </c>
      <c r="D32" s="6">
        <v>3</v>
      </c>
      <c r="E32" s="20"/>
    </row>
    <row r="33" spans="1:5" x14ac:dyDescent="0.3">
      <c r="A33" s="16">
        <v>5</v>
      </c>
      <c r="B33" s="7"/>
      <c r="C33" s="8" t="s">
        <v>24</v>
      </c>
      <c r="D33" s="9">
        <f>SUM(D29:D32)</f>
        <v>10</v>
      </c>
      <c r="E33" s="22">
        <f>D33/22*100</f>
        <v>45.454545454545453</v>
      </c>
    </row>
    <row r="34" spans="1:5" x14ac:dyDescent="0.3">
      <c r="A34" s="17"/>
      <c r="B34" s="7"/>
      <c r="C34" s="7"/>
      <c r="D34" s="6"/>
      <c r="E34" s="20"/>
    </row>
    <row r="35" spans="1:5" x14ac:dyDescent="0.3">
      <c r="A35" s="19">
        <v>6</v>
      </c>
      <c r="B35" s="15" t="s">
        <v>11</v>
      </c>
      <c r="C35" s="7"/>
      <c r="D35" s="6"/>
      <c r="E35" s="20"/>
    </row>
    <row r="36" spans="1:5" x14ac:dyDescent="0.3">
      <c r="A36" s="19">
        <v>6</v>
      </c>
      <c r="B36" s="7" t="s">
        <v>13</v>
      </c>
      <c r="C36" s="7" t="s">
        <v>1</v>
      </c>
      <c r="D36" s="6">
        <v>1</v>
      </c>
      <c r="E36" s="20"/>
    </row>
    <row r="37" spans="1:5" x14ac:dyDescent="0.3">
      <c r="A37" s="19">
        <v>6</v>
      </c>
      <c r="B37" s="7"/>
      <c r="C37" s="7" t="s">
        <v>2</v>
      </c>
      <c r="D37" s="6">
        <v>0.5</v>
      </c>
      <c r="E37" s="20"/>
    </row>
    <row r="38" spans="1:5" x14ac:dyDescent="0.3">
      <c r="A38" s="19">
        <v>6</v>
      </c>
      <c r="B38" s="7"/>
      <c r="C38" s="7" t="s">
        <v>3</v>
      </c>
      <c r="D38" s="6">
        <v>0.5</v>
      </c>
      <c r="E38" s="20"/>
    </row>
    <row r="39" spans="1:5" x14ac:dyDescent="0.3">
      <c r="A39" s="19">
        <v>6</v>
      </c>
      <c r="B39" s="7"/>
      <c r="C39" s="7" t="s">
        <v>4</v>
      </c>
      <c r="D39" s="6">
        <v>1</v>
      </c>
      <c r="E39" s="20"/>
    </row>
    <row r="40" spans="1:5" x14ac:dyDescent="0.3">
      <c r="A40" s="19">
        <v>6</v>
      </c>
      <c r="B40" s="7"/>
      <c r="C40" s="8" t="s">
        <v>24</v>
      </c>
      <c r="D40" s="9">
        <f>SUM(D36:D39)</f>
        <v>3</v>
      </c>
      <c r="E40" s="22">
        <f>D40/22*100</f>
        <v>13.636363636363635</v>
      </c>
    </row>
    <row r="41" spans="1:5" x14ac:dyDescent="0.3">
      <c r="A41" s="17"/>
      <c r="B41" s="7"/>
      <c r="C41" s="7"/>
      <c r="D41" s="6"/>
      <c r="E41" s="20"/>
    </row>
    <row r="42" spans="1:5" x14ac:dyDescent="0.3">
      <c r="A42" s="19">
        <v>7</v>
      </c>
      <c r="B42" s="15" t="s">
        <v>12</v>
      </c>
      <c r="C42" s="7"/>
      <c r="D42" s="6"/>
      <c r="E42" s="20"/>
    </row>
    <row r="43" spans="1:5" x14ac:dyDescent="0.3">
      <c r="A43" s="19">
        <v>7</v>
      </c>
      <c r="B43" s="7"/>
      <c r="C43" s="7" t="s">
        <v>1</v>
      </c>
      <c r="D43" s="6">
        <v>1</v>
      </c>
      <c r="E43" s="20"/>
    </row>
    <row r="44" spans="1:5" x14ac:dyDescent="0.3">
      <c r="A44" s="19">
        <v>7</v>
      </c>
      <c r="B44" s="7"/>
      <c r="C44" s="7" t="s">
        <v>2</v>
      </c>
      <c r="D44" s="6">
        <v>1</v>
      </c>
      <c r="E44" s="20"/>
    </row>
    <row r="45" spans="1:5" x14ac:dyDescent="0.3">
      <c r="A45" s="19">
        <v>7</v>
      </c>
      <c r="B45" s="7"/>
      <c r="C45" s="7" t="s">
        <v>3</v>
      </c>
      <c r="D45" s="6">
        <v>2</v>
      </c>
      <c r="E45" s="20"/>
    </row>
    <row r="46" spans="1:5" x14ac:dyDescent="0.3">
      <c r="A46" s="19">
        <v>7</v>
      </c>
      <c r="B46" s="7"/>
      <c r="C46" s="7" t="s">
        <v>4</v>
      </c>
      <c r="D46" s="6">
        <v>1</v>
      </c>
      <c r="E46" s="20"/>
    </row>
    <row r="47" spans="1:5" x14ac:dyDescent="0.3">
      <c r="A47" s="19">
        <v>7</v>
      </c>
      <c r="B47" s="7"/>
      <c r="C47" s="8" t="s">
        <v>24</v>
      </c>
      <c r="D47" s="9">
        <f>SUM(D43:D46)</f>
        <v>5</v>
      </c>
      <c r="E47" s="22">
        <f>D47/22*100</f>
        <v>22.727272727272727</v>
      </c>
    </row>
    <row r="48" spans="1:5" x14ac:dyDescent="0.3">
      <c r="A48" s="17"/>
      <c r="B48" s="7"/>
      <c r="C48" s="7"/>
      <c r="D48" s="6"/>
      <c r="E48" s="20"/>
    </row>
    <row r="49" spans="1:5" x14ac:dyDescent="0.3">
      <c r="A49" s="16">
        <v>8</v>
      </c>
      <c r="B49" s="15" t="s">
        <v>14</v>
      </c>
      <c r="C49" s="7"/>
      <c r="D49" s="6"/>
      <c r="E49" s="20"/>
    </row>
    <row r="50" spans="1:5" x14ac:dyDescent="0.3">
      <c r="A50" s="16">
        <v>8</v>
      </c>
      <c r="B50" s="7" t="s">
        <v>16</v>
      </c>
      <c r="C50" s="7" t="s">
        <v>1</v>
      </c>
      <c r="D50" s="6">
        <v>2</v>
      </c>
      <c r="E50" s="20"/>
    </row>
    <row r="51" spans="1:5" x14ac:dyDescent="0.3">
      <c r="A51" s="16">
        <v>8</v>
      </c>
      <c r="B51" s="7"/>
      <c r="C51" s="7" t="s">
        <v>15</v>
      </c>
      <c r="D51" s="6">
        <v>2</v>
      </c>
      <c r="E51" s="20"/>
    </row>
    <row r="52" spans="1:5" x14ac:dyDescent="0.3">
      <c r="A52" s="16">
        <v>8</v>
      </c>
      <c r="B52" s="7"/>
      <c r="C52" s="7" t="s">
        <v>2</v>
      </c>
      <c r="D52" s="6">
        <v>2</v>
      </c>
      <c r="E52" s="20"/>
    </row>
    <row r="53" spans="1:5" x14ac:dyDescent="0.3">
      <c r="A53" s="16">
        <v>8</v>
      </c>
      <c r="B53" s="7"/>
      <c r="C53" s="7" t="s">
        <v>3</v>
      </c>
      <c r="D53" s="6">
        <v>5</v>
      </c>
      <c r="E53" s="20"/>
    </row>
    <row r="54" spans="1:5" x14ac:dyDescent="0.3">
      <c r="A54" s="16">
        <v>8</v>
      </c>
      <c r="B54" s="7"/>
      <c r="C54" s="7" t="s">
        <v>4</v>
      </c>
      <c r="D54" s="6">
        <v>5</v>
      </c>
      <c r="E54" s="20"/>
    </row>
    <row r="55" spans="1:5" x14ac:dyDescent="0.3">
      <c r="A55" s="16">
        <v>8</v>
      </c>
      <c r="B55" s="8" t="s">
        <v>8</v>
      </c>
      <c r="C55" s="7"/>
      <c r="D55" s="6"/>
      <c r="E55" s="20"/>
    </row>
    <row r="56" spans="1:5" x14ac:dyDescent="0.3">
      <c r="A56" s="16">
        <v>8</v>
      </c>
      <c r="B56" s="10" t="s">
        <v>17</v>
      </c>
      <c r="C56" s="10" t="s">
        <v>1</v>
      </c>
      <c r="D56" s="11">
        <v>2</v>
      </c>
      <c r="E56" s="20"/>
    </row>
    <row r="57" spans="1:5" x14ac:dyDescent="0.3">
      <c r="A57" s="16">
        <v>8</v>
      </c>
      <c r="B57" s="10"/>
      <c r="C57" s="10" t="s">
        <v>15</v>
      </c>
      <c r="D57" s="11">
        <v>2</v>
      </c>
      <c r="E57" s="20"/>
    </row>
    <row r="58" spans="1:5" x14ac:dyDescent="0.3">
      <c r="A58" s="16">
        <v>8</v>
      </c>
      <c r="B58" s="10"/>
      <c r="C58" s="10" t="s">
        <v>2</v>
      </c>
      <c r="D58" s="11">
        <v>1</v>
      </c>
      <c r="E58" s="20"/>
    </row>
    <row r="59" spans="1:5" x14ac:dyDescent="0.3">
      <c r="A59" s="16">
        <v>8</v>
      </c>
      <c r="B59" s="10"/>
      <c r="C59" s="10" t="s">
        <v>3</v>
      </c>
      <c r="D59" s="11">
        <v>2</v>
      </c>
      <c r="E59" s="20"/>
    </row>
    <row r="60" spans="1:5" x14ac:dyDescent="0.3">
      <c r="A60" s="16">
        <v>8</v>
      </c>
      <c r="B60" s="10"/>
      <c r="C60" s="10" t="s">
        <v>4</v>
      </c>
      <c r="D60" s="11">
        <v>2</v>
      </c>
      <c r="E60" s="20"/>
    </row>
    <row r="61" spans="1:5" x14ac:dyDescent="0.3">
      <c r="A61" s="16">
        <v>8</v>
      </c>
      <c r="B61" s="10"/>
      <c r="C61" s="8" t="s">
        <v>24</v>
      </c>
      <c r="D61" s="9">
        <f>SUM(D50:D54)</f>
        <v>16</v>
      </c>
      <c r="E61" s="22">
        <f>D61/22*100</f>
        <v>72.727272727272734</v>
      </c>
    </row>
    <row r="62" spans="1:5" x14ac:dyDescent="0.3">
      <c r="A62" s="17"/>
      <c r="B62" s="7"/>
      <c r="C62" s="7"/>
      <c r="D62" s="6"/>
      <c r="E62" s="20"/>
    </row>
    <row r="63" spans="1:5" x14ac:dyDescent="0.3">
      <c r="A63" s="16">
        <v>9</v>
      </c>
      <c r="B63" s="15" t="s">
        <v>18</v>
      </c>
      <c r="C63" s="7"/>
      <c r="D63" s="6"/>
      <c r="E63" s="20"/>
    </row>
    <row r="64" spans="1:5" x14ac:dyDescent="0.3">
      <c r="A64" s="16">
        <v>9</v>
      </c>
      <c r="B64" s="7"/>
      <c r="C64" s="7" t="s">
        <v>1</v>
      </c>
      <c r="D64" s="6">
        <v>2</v>
      </c>
      <c r="E64" s="20"/>
    </row>
    <row r="65" spans="1:5" x14ac:dyDescent="0.3">
      <c r="A65" s="16">
        <v>9</v>
      </c>
      <c r="B65" s="7"/>
      <c r="C65" s="7" t="s">
        <v>15</v>
      </c>
      <c r="D65" s="6">
        <v>2</v>
      </c>
      <c r="E65" s="20"/>
    </row>
    <row r="66" spans="1:5" x14ac:dyDescent="0.3">
      <c r="A66" s="16">
        <v>9</v>
      </c>
      <c r="B66" s="7"/>
      <c r="C66" s="7" t="s">
        <v>2</v>
      </c>
      <c r="D66" s="6">
        <v>1</v>
      </c>
      <c r="E66" s="20"/>
    </row>
    <row r="67" spans="1:5" x14ac:dyDescent="0.3">
      <c r="A67" s="16">
        <v>9</v>
      </c>
      <c r="B67" s="7"/>
      <c r="C67" s="7" t="s">
        <v>3</v>
      </c>
      <c r="D67" s="6">
        <v>3</v>
      </c>
      <c r="E67" s="20"/>
    </row>
    <row r="68" spans="1:5" x14ac:dyDescent="0.3">
      <c r="A68" s="16">
        <v>9</v>
      </c>
      <c r="B68" s="7"/>
      <c r="C68" s="7" t="s">
        <v>4</v>
      </c>
      <c r="D68" s="6">
        <v>3</v>
      </c>
      <c r="E68" s="20"/>
    </row>
    <row r="69" spans="1:5" x14ac:dyDescent="0.3">
      <c r="A69" s="16">
        <v>9</v>
      </c>
      <c r="B69" s="7"/>
      <c r="C69" s="8" t="s">
        <v>24</v>
      </c>
      <c r="D69" s="9">
        <f>SUM(D64:D68)</f>
        <v>11</v>
      </c>
      <c r="E69" s="22">
        <f>D69/22*100</f>
        <v>50</v>
      </c>
    </row>
    <row r="70" spans="1:5" x14ac:dyDescent="0.3">
      <c r="A70" s="17"/>
      <c r="B70" s="7"/>
      <c r="C70" s="8"/>
      <c r="D70" s="9"/>
      <c r="E70" s="20"/>
    </row>
    <row r="71" spans="1:5" x14ac:dyDescent="0.3">
      <c r="A71" s="16">
        <v>10</v>
      </c>
      <c r="B71" s="7" t="s">
        <v>28</v>
      </c>
      <c r="C71" s="7"/>
      <c r="D71" s="6"/>
      <c r="E71" s="20"/>
    </row>
    <row r="72" spans="1:5" x14ac:dyDescent="0.3">
      <c r="A72" s="16">
        <v>10</v>
      </c>
      <c r="B72" s="7"/>
      <c r="C72" s="7" t="s">
        <v>1</v>
      </c>
      <c r="D72" s="6">
        <v>2</v>
      </c>
      <c r="E72" s="20"/>
    </row>
    <row r="73" spans="1:5" x14ac:dyDescent="0.3">
      <c r="A73" s="16">
        <v>10</v>
      </c>
      <c r="B73" s="7"/>
      <c r="C73" s="7" t="s">
        <v>2</v>
      </c>
      <c r="D73" s="6">
        <v>2</v>
      </c>
      <c r="E73" s="20"/>
    </row>
    <row r="74" spans="1:5" x14ac:dyDescent="0.3">
      <c r="A74" s="16">
        <v>10</v>
      </c>
      <c r="B74" s="7"/>
      <c r="C74" s="12" t="s">
        <v>4</v>
      </c>
      <c r="D74" s="13">
        <v>1</v>
      </c>
      <c r="E74" s="20"/>
    </row>
    <row r="75" spans="1:5" x14ac:dyDescent="0.3">
      <c r="A75" s="16">
        <v>10</v>
      </c>
      <c r="B75" s="7"/>
      <c r="C75" s="8" t="s">
        <v>24</v>
      </c>
      <c r="D75" s="9">
        <f>SUM(D71:D74)</f>
        <v>5</v>
      </c>
      <c r="E75" s="22">
        <f>D75/22*100</f>
        <v>22.727272727272727</v>
      </c>
    </row>
    <row r="76" spans="1:5" x14ac:dyDescent="0.3">
      <c r="A76" s="16">
        <v>10</v>
      </c>
      <c r="B76" s="7"/>
      <c r="C76" s="8"/>
      <c r="D76" s="9"/>
      <c r="E76" s="20"/>
    </row>
    <row r="77" spans="1:5" x14ac:dyDescent="0.3">
      <c r="A77" s="16">
        <v>10</v>
      </c>
      <c r="B77" s="7"/>
      <c r="C77" s="8" t="s">
        <v>25</v>
      </c>
      <c r="D77" s="9">
        <f>SUM(D61,D69,D47,D40,D33,D21,D14,D7,D75)</f>
        <v>87</v>
      </c>
      <c r="E77" s="22">
        <f>SUM(E61,E69,E47,E40,E33,E21,E14,E7,E75)</f>
        <v>395.4545454545455</v>
      </c>
    </row>
    <row r="78" spans="1:5" x14ac:dyDescent="0.3">
      <c r="A78" s="26"/>
      <c r="B78" s="27"/>
      <c r="C78" s="27"/>
      <c r="D78" s="28" t="s">
        <v>26</v>
      </c>
      <c r="E78" s="29"/>
    </row>
    <row r="81" spans="1:2" x14ac:dyDescent="0.3">
      <c r="A81" s="2"/>
      <c r="B81" t="s">
        <v>20</v>
      </c>
    </row>
    <row r="82" spans="1:2" x14ac:dyDescent="0.3">
      <c r="A82" s="3"/>
      <c r="B82" t="s">
        <v>21</v>
      </c>
    </row>
    <row r="83" spans="1:2" x14ac:dyDescent="0.3">
      <c r="A83" s="4"/>
      <c r="B83" t="s">
        <v>22</v>
      </c>
    </row>
    <row r="85" spans="1:2" x14ac:dyDescent="0.3">
      <c r="B85" t="s">
        <v>23</v>
      </c>
    </row>
  </sheetData>
  <pageMargins left="0.7" right="0.7" top="0.75" bottom="0.75" header="0.3" footer="0.3"/>
  <pageSetup paperSize="9" scale="5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Папченко Александр Павлович</dc:creator>
  <cp:lastModifiedBy>Иван Кукушкин</cp:lastModifiedBy>
  <cp:lastPrinted>2026-06-10T13:04:45Z</cp:lastPrinted>
  <dcterms:created xsi:type="dcterms:W3CDTF">2015-06-05T18:19:34Z</dcterms:created>
  <dcterms:modified xsi:type="dcterms:W3CDTF">2026-09-16T16:10:26Z</dcterms:modified>
</cp:coreProperties>
</file>